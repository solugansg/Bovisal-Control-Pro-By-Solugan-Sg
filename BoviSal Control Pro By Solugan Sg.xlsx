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SOLUGAN SG\ANIMAL PRODUCTION\BOVINOS\FORMATOS\formatos solugan sg\"/>
    </mc:Choice>
  </mc:AlternateContent>
  <xr:revisionPtr revIDLastSave="0" documentId="13_ncr:1_{EBD4F5DE-DAF6-4366-8115-5442DC38CA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-LOTES-INVENTARIO" sheetId="3" r:id="rId1"/>
  </sheets>
  <calcPr calcId="191029"/>
</workbook>
</file>

<file path=xl/calcChain.xml><?xml version="1.0" encoding="utf-8"?>
<calcChain xmlns="http://schemas.openxmlformats.org/spreadsheetml/2006/main">
  <c r="C11" i="3" l="1"/>
  <c r="J11" i="3"/>
  <c r="R11" i="3"/>
  <c r="Q11" i="3"/>
  <c r="P11" i="3"/>
  <c r="O11" i="3"/>
  <c r="N11" i="3"/>
  <c r="M11" i="3"/>
  <c r="L11" i="3"/>
  <c r="K11" i="3"/>
  <c r="C36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T29" i="3"/>
  <c r="R29" i="3"/>
  <c r="P29" i="3"/>
  <c r="N29" i="3"/>
  <c r="L29" i="3"/>
  <c r="J29" i="3"/>
  <c r="V29" i="3" s="1"/>
  <c r="W29" i="3" s="1"/>
  <c r="H29" i="3"/>
  <c r="F29" i="3"/>
  <c r="D29" i="3"/>
  <c r="T28" i="3"/>
  <c r="R28" i="3"/>
  <c r="P28" i="3"/>
  <c r="N28" i="3"/>
  <c r="L28" i="3"/>
  <c r="J28" i="3"/>
  <c r="H28" i="3"/>
  <c r="V28" i="3" s="1"/>
  <c r="W28" i="3" s="1"/>
  <c r="F28" i="3"/>
  <c r="D28" i="3"/>
  <c r="T27" i="3"/>
  <c r="R27" i="3"/>
  <c r="P27" i="3"/>
  <c r="N27" i="3"/>
  <c r="L27" i="3"/>
  <c r="J27" i="3"/>
  <c r="H27" i="3"/>
  <c r="F27" i="3"/>
  <c r="V27" i="3" s="1"/>
  <c r="W27" i="3" s="1"/>
  <c r="D27" i="3"/>
  <c r="T26" i="3"/>
  <c r="R26" i="3"/>
  <c r="P26" i="3"/>
  <c r="V26" i="3" s="1"/>
  <c r="W26" i="3" s="1"/>
  <c r="N26" i="3"/>
  <c r="L26" i="3"/>
  <c r="J26" i="3"/>
  <c r="H26" i="3"/>
  <c r="F26" i="3"/>
  <c r="D26" i="3"/>
  <c r="T25" i="3"/>
  <c r="R25" i="3"/>
  <c r="P25" i="3"/>
  <c r="N25" i="3"/>
  <c r="L25" i="3"/>
  <c r="J25" i="3"/>
  <c r="V25" i="3" s="1"/>
  <c r="W25" i="3" s="1"/>
  <c r="H25" i="3"/>
  <c r="F25" i="3"/>
  <c r="D25" i="3"/>
  <c r="T24" i="3"/>
  <c r="R24" i="3"/>
  <c r="P24" i="3"/>
  <c r="N24" i="3"/>
  <c r="L24" i="3"/>
  <c r="V24" i="3" s="1"/>
  <c r="W24" i="3" s="1"/>
  <c r="J24" i="3"/>
  <c r="H24" i="3"/>
  <c r="F24" i="3"/>
  <c r="D24" i="3"/>
  <c r="T23" i="3"/>
  <c r="R23" i="3"/>
  <c r="P23" i="3"/>
  <c r="N23" i="3"/>
  <c r="L23" i="3"/>
  <c r="J23" i="3"/>
  <c r="H23" i="3"/>
  <c r="F23" i="3"/>
  <c r="V23" i="3" s="1"/>
  <c r="W23" i="3" s="1"/>
  <c r="D23" i="3"/>
  <c r="T22" i="3"/>
  <c r="R22" i="3"/>
  <c r="P22" i="3"/>
  <c r="N22" i="3"/>
  <c r="L22" i="3"/>
  <c r="J22" i="3"/>
  <c r="H22" i="3"/>
  <c r="V22" i="3" s="1"/>
  <c r="W22" i="3" s="1"/>
  <c r="F22" i="3"/>
  <c r="D22" i="3"/>
  <c r="D30" i="3"/>
  <c r="F30" i="3"/>
  <c r="H30" i="3"/>
  <c r="J30" i="3"/>
  <c r="L30" i="3"/>
  <c r="N30" i="3"/>
  <c r="P30" i="3"/>
  <c r="R30" i="3"/>
  <c r="T30" i="3"/>
  <c r="T33" i="3"/>
  <c r="T32" i="3"/>
  <c r="T31" i="3"/>
  <c r="R33" i="3"/>
  <c r="R32" i="3"/>
  <c r="R31" i="3"/>
  <c r="P33" i="3"/>
  <c r="P32" i="3"/>
  <c r="P31" i="3"/>
  <c r="N33" i="3"/>
  <c r="N32" i="3"/>
  <c r="N31" i="3"/>
  <c r="L31" i="3"/>
  <c r="L32" i="3"/>
  <c r="L33" i="3"/>
  <c r="L34" i="3"/>
  <c r="J33" i="3"/>
  <c r="J32" i="3"/>
  <c r="J31" i="3"/>
  <c r="H33" i="3"/>
  <c r="H32" i="3"/>
  <c r="H31" i="3"/>
  <c r="F33" i="3"/>
  <c r="V33" i="3" s="1"/>
  <c r="W33" i="3" s="1"/>
  <c r="F32" i="3"/>
  <c r="F31" i="3"/>
  <c r="D33" i="3"/>
  <c r="D32" i="3"/>
  <c r="D31" i="3"/>
  <c r="T16" i="3"/>
  <c r="S37" i="3" s="1"/>
  <c r="T17" i="3"/>
  <c r="T18" i="3"/>
  <c r="T19" i="3"/>
  <c r="T20" i="3"/>
  <c r="T21" i="3"/>
  <c r="T34" i="3"/>
  <c r="T15" i="3"/>
  <c r="R16" i="3"/>
  <c r="R17" i="3"/>
  <c r="R18" i="3"/>
  <c r="R19" i="3"/>
  <c r="R20" i="3"/>
  <c r="R21" i="3"/>
  <c r="R34" i="3"/>
  <c r="R15" i="3"/>
  <c r="P16" i="3"/>
  <c r="P17" i="3"/>
  <c r="P18" i="3"/>
  <c r="P19" i="3"/>
  <c r="P20" i="3"/>
  <c r="P21" i="3"/>
  <c r="P34" i="3"/>
  <c r="P15" i="3"/>
  <c r="N16" i="3"/>
  <c r="M37" i="3" s="1"/>
  <c r="N17" i="3"/>
  <c r="N18" i="3"/>
  <c r="V18" i="3" s="1"/>
  <c r="W18" i="3" s="1"/>
  <c r="N19" i="3"/>
  <c r="N20" i="3"/>
  <c r="N21" i="3"/>
  <c r="N34" i="3"/>
  <c r="V34" i="3" s="1"/>
  <c r="W34" i="3" s="1"/>
  <c r="N15" i="3"/>
  <c r="L16" i="3"/>
  <c r="V16" i="3" s="1"/>
  <c r="W16" i="3" s="1"/>
  <c r="L17" i="3"/>
  <c r="L18" i="3"/>
  <c r="L19" i="3"/>
  <c r="L20" i="3"/>
  <c r="V20" i="3" s="1"/>
  <c r="W20" i="3" s="1"/>
  <c r="L21" i="3"/>
  <c r="L15" i="3"/>
  <c r="J16" i="3"/>
  <c r="J17" i="3"/>
  <c r="J18" i="3"/>
  <c r="J19" i="3"/>
  <c r="J20" i="3"/>
  <c r="J21" i="3"/>
  <c r="J34" i="3"/>
  <c r="J15" i="3"/>
  <c r="H16" i="3"/>
  <c r="H17" i="3"/>
  <c r="G37" i="3" s="1"/>
  <c r="H18" i="3"/>
  <c r="H19" i="3"/>
  <c r="H20" i="3"/>
  <c r="H21" i="3"/>
  <c r="H34" i="3"/>
  <c r="H15" i="3"/>
  <c r="F16" i="3"/>
  <c r="F17" i="3"/>
  <c r="V17" i="3" s="1"/>
  <c r="W17" i="3" s="1"/>
  <c r="F18" i="3"/>
  <c r="F19" i="3"/>
  <c r="V19" i="3" s="1"/>
  <c r="W19" i="3" s="1"/>
  <c r="F20" i="3"/>
  <c r="F21" i="3"/>
  <c r="V21" i="3" s="1"/>
  <c r="W21" i="3" s="1"/>
  <c r="F34" i="3"/>
  <c r="F15" i="3"/>
  <c r="D16" i="3"/>
  <c r="D17" i="3"/>
  <c r="D18" i="3"/>
  <c r="D19" i="3"/>
  <c r="D20" i="3"/>
  <c r="D21" i="3"/>
  <c r="D34" i="3"/>
  <c r="D15" i="3"/>
  <c r="U15" i="3"/>
  <c r="Q36" i="3"/>
  <c r="S36" i="3"/>
  <c r="O36" i="3"/>
  <c r="M36" i="3"/>
  <c r="K36" i="3"/>
  <c r="I36" i="3"/>
  <c r="G36" i="3"/>
  <c r="E36" i="3"/>
  <c r="V31" i="3"/>
  <c r="W31" i="3" s="1"/>
  <c r="K37" i="3"/>
  <c r="V32" i="3"/>
  <c r="W32" i="3" s="1"/>
  <c r="O37" i="3"/>
  <c r="Q37" i="3"/>
  <c r="V15" i="3" l="1"/>
  <c r="I37" i="3"/>
  <c r="V30" i="3"/>
  <c r="W30" i="3" s="1"/>
  <c r="U36" i="3"/>
  <c r="B11" i="3" s="1"/>
  <c r="J12" i="3"/>
  <c r="E37" i="3"/>
  <c r="W15" i="3"/>
  <c r="W37" i="3" s="1"/>
  <c r="E11" i="3" s="1"/>
  <c r="F11" i="3" s="1"/>
  <c r="H11" i="3" s="1"/>
  <c r="C37" i="3"/>
  <c r="V37" i="3" l="1"/>
  <c r="D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CRIA HEMBRA</t>
        </r>
      </text>
    </comment>
    <comment ref="E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HEMBRA LEVANTE</t>
        </r>
      </text>
    </comment>
    <comment ref="G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NOVILLA VIENTRE</t>
        </r>
      </text>
    </comment>
    <comment ref="I1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VACA PARIDA</t>
        </r>
      </text>
    </comment>
    <comment ref="K1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VACA SECA</t>
        </r>
      </text>
    </comment>
    <comment ref="M1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CRIA MACHO</t>
        </r>
      </text>
    </comment>
    <comment ref="O1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MACHO LEVANTE</t>
        </r>
      </text>
    </comment>
    <comment ref="Q1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MACHO DE CEBA</t>
        </r>
      </text>
    </comment>
    <comment ref="S14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REPRODUCTOR</t>
        </r>
      </text>
    </comment>
    <comment ref="U3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TOTAL ANIMALES</t>
        </r>
      </text>
    </comment>
  </commentList>
</comments>
</file>

<file path=xl/sharedStrings.xml><?xml version="1.0" encoding="utf-8"?>
<sst xmlns="http://schemas.openxmlformats.org/spreadsheetml/2006/main" count="102" uniqueCount="76">
  <si>
    <t>CM</t>
  </si>
  <si>
    <t>ML</t>
  </si>
  <si>
    <t>REPRODUCTOR</t>
  </si>
  <si>
    <t>VP</t>
  </si>
  <si>
    <t>CH</t>
  </si>
  <si>
    <t>HL</t>
  </si>
  <si>
    <t>NV</t>
  </si>
  <si>
    <t>CRIA MACHO</t>
  </si>
  <si>
    <t>MACHO LEVANTE</t>
  </si>
  <si>
    <t>VACA PARIDA</t>
  </si>
  <si>
    <t>CRIA HEMBRA</t>
  </si>
  <si>
    <t>VACA HORRA</t>
  </si>
  <si>
    <t>HEMBRA LEVANTE</t>
  </si>
  <si>
    <t>NOVILLA VIENTRE</t>
  </si>
  <si>
    <t>TOTAL KILOS</t>
  </si>
  <si>
    <t>GR</t>
  </si>
  <si>
    <t>LOTE</t>
  </si>
  <si>
    <t>ESTADO
PRODUCTIVO</t>
  </si>
  <si>
    <t>SOLUGAN SG - SOLUCIONES GANADERAS</t>
  </si>
  <si>
    <t>CONSUMO GRAMOS 
SAL DIA POR ANIMAL</t>
  </si>
  <si>
    <t>MACHO DE CEBA</t>
  </si>
  <si>
    <t>VS</t>
  </si>
  <si>
    <t>JAN A. GONZALEZ. CEL: +57 3147084328 Mail: solugansg@gmail.com</t>
  </si>
  <si>
    <t>MC</t>
  </si>
  <si>
    <t>Total
Gr Sal Lote</t>
  </si>
  <si>
    <t>Total
Ani
males</t>
  </si>
  <si>
    <t>LOTE 1</t>
  </si>
  <si>
    <t>LOTE 2</t>
  </si>
  <si>
    <t>LOTE 3</t>
  </si>
  <si>
    <t>LOTE 4</t>
  </si>
  <si>
    <t>LOTE 5</t>
  </si>
  <si>
    <t>LOTE 6</t>
  </si>
  <si>
    <t>LOTE 7</t>
  </si>
  <si>
    <t>LOTE 8</t>
  </si>
  <si>
    <t>LOTE 9</t>
  </si>
  <si>
    <t>LOTE 10</t>
  </si>
  <si>
    <t>LOTE 11</t>
  </si>
  <si>
    <t>LOTE 12</t>
  </si>
  <si>
    <t>Sal
CH</t>
  </si>
  <si>
    <t>Sal
HL</t>
  </si>
  <si>
    <t>Sal
NV</t>
  </si>
  <si>
    <t>Sal
VP</t>
  </si>
  <si>
    <t>Sal CM</t>
  </si>
  <si>
    <t>Sal ML</t>
  </si>
  <si>
    <t>Sal MC</t>
  </si>
  <si>
    <t>LOTE 13</t>
  </si>
  <si>
    <t>LOTE 14</t>
  </si>
  <si>
    <t>LOTE 15</t>
  </si>
  <si>
    <t>LOTE 16</t>
  </si>
  <si>
    <t>LOTE 17</t>
  </si>
  <si>
    <t>LOTE 18</t>
  </si>
  <si>
    <t>LOTE 19</t>
  </si>
  <si>
    <t>LOTE 20</t>
  </si>
  <si>
    <t>TOTAL Gr SAL
CATEGORIA</t>
  </si>
  <si>
    <t>Gr</t>
  </si>
  <si>
    <t>Kilos</t>
  </si>
  <si>
    <t>FECHA</t>
  </si>
  <si>
    <t>FINCA</t>
  </si>
  <si>
    <t>RESPONSABLE</t>
  </si>
  <si>
    <t>RESUMEN CONSUMO SAL FINCA</t>
  </si>
  <si>
    <t>Sal
VS</t>
  </si>
  <si>
    <t>CONSUMO SAL + INVENTARIO LOTES + INVENTARIO ANIMALES</t>
  </si>
  <si>
    <t>TABLA PARA CALCULAR CONSUMO DE SAL
ANIMALES</t>
  </si>
  <si>
    <t>El consumo de sal puede aumentar o disminuir debido a algunos factores como: 
Epoca del año, verano o invierno, valor nutricional de los pastos, calidad de la sal suministrada, frecuencia del suministro de sal, ETC...; tenga en cuenta esta informacion y modifique los valores de la tabla de acuerdo  a las necesidades de sus animales.</t>
  </si>
  <si>
    <t>TOTAL ANIMALES
EN FINCA</t>
  </si>
  <si>
    <t>TODOS LOS
ANIMALES</t>
  </si>
  <si>
    <t>T</t>
  </si>
  <si>
    <t>Sal
T</t>
  </si>
  <si>
    <t>Total
Lotes</t>
  </si>
  <si>
    <t>Sal Gr
Dia</t>
  </si>
  <si>
    <t>Sal Kilos
Dia</t>
  </si>
  <si>
    <t>Total Animales 
en Finca</t>
  </si>
  <si>
    <t>Total Kilos 
Sal Mes</t>
  </si>
  <si>
    <t>Total Sal
Mes x Bulto</t>
  </si>
  <si>
    <t>INVENTARIO DE ANIMALES X ESTADO PRODUCTIVO</t>
  </si>
  <si>
    <t>Bulto
X?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</si>
</sst>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FF00"/>
      <name val="Calibri"/>
      <family val="2"/>
      <scheme val="minor"/>
    </font>
    <font>
      <b/>
      <sz val="16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i/>
      <sz val="14"/>
      <color rgb="FF800000"/>
      <name val="Calibri"/>
      <family val="2"/>
      <scheme val="minor"/>
    </font>
    <font>
      <b/>
      <sz val="2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66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0" fontId="9" fillId="4" borderId="9" xfId="0" applyFont="1" applyFill="1" applyBorder="1" applyAlignment="1" applyProtection="1">
      <alignment horizontal="center" vertical="center" wrapText="1"/>
      <protection locked="0"/>
    </xf>
    <xf numFmtId="0" fontId="9" fillId="4" borderId="9" xfId="0" applyFont="1" applyFill="1" applyBorder="1" applyAlignment="1" applyProtection="1">
      <alignment horizontal="left" vertical="center"/>
      <protection locked="0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0" fontId="9" fillId="5" borderId="12" xfId="0" applyFont="1" applyFill="1" applyBorder="1" applyAlignment="1" applyProtection="1">
      <alignment horizontal="center" vertical="center" wrapText="1"/>
      <protection locked="0"/>
    </xf>
    <xf numFmtId="0" fontId="9" fillId="5" borderId="8" xfId="0" applyFont="1" applyFill="1" applyBorder="1" applyAlignment="1" applyProtection="1">
      <alignment horizontal="left" vertical="center"/>
      <protection locked="0"/>
    </xf>
    <xf numFmtId="0" fontId="9" fillId="5" borderId="13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wrapText="1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left"/>
      <protection locked="0"/>
    </xf>
    <xf numFmtId="3" fontId="6" fillId="0" borderId="0" xfId="0" applyNumberFormat="1" applyFont="1" applyFill="1" applyBorder="1" applyAlignment="1" applyProtection="1">
      <alignment horizontal="center"/>
      <protection locked="0"/>
    </xf>
    <xf numFmtId="3" fontId="10" fillId="0" borderId="0" xfId="0" applyNumberFormat="1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vertical="center" wrapText="1"/>
      <protection locked="0"/>
    </xf>
    <xf numFmtId="0" fontId="6" fillId="0" borderId="0" xfId="0" applyFont="1" applyFill="1" applyBorder="1" applyAlignment="1" applyProtection="1">
      <protection locked="0"/>
    </xf>
    <xf numFmtId="0" fontId="4" fillId="0" borderId="0" xfId="0" applyFont="1" applyFill="1" applyBorder="1" applyAlignment="1" applyProtection="1">
      <alignment vertical="justify" wrapText="1"/>
      <protection locked="0"/>
    </xf>
    <xf numFmtId="0" fontId="4" fillId="0" borderId="0" xfId="0" applyFont="1" applyFill="1" applyAlignment="1" applyProtection="1">
      <alignment vertical="justify"/>
      <protection locked="0"/>
    </xf>
    <xf numFmtId="0" fontId="6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164" fontId="11" fillId="0" borderId="0" xfId="0" applyNumberFormat="1" applyFont="1" applyAlignment="1" applyProtection="1">
      <alignment horizontal="center"/>
    </xf>
    <xf numFmtId="0" fontId="8" fillId="0" borderId="6" xfId="0" applyFont="1" applyBorder="1" applyAlignment="1" applyProtection="1">
      <alignment horizontal="center"/>
    </xf>
    <xf numFmtId="0" fontId="12" fillId="0" borderId="6" xfId="0" applyFont="1" applyBorder="1" applyAlignment="1" applyProtection="1">
      <alignment horizontal="center"/>
    </xf>
    <xf numFmtId="3" fontId="6" fillId="0" borderId="6" xfId="0" applyNumberFormat="1" applyFont="1" applyBorder="1" applyAlignment="1" applyProtection="1">
      <alignment horizontal="center"/>
    </xf>
    <xf numFmtId="0" fontId="13" fillId="4" borderId="13" xfId="0" applyFont="1" applyFill="1" applyBorder="1" applyAlignment="1" applyProtection="1">
      <alignment horizontal="center" vertical="center"/>
    </xf>
    <xf numFmtId="0" fontId="14" fillId="4" borderId="13" xfId="0" applyFont="1" applyFill="1" applyBorder="1" applyAlignment="1" applyProtection="1">
      <alignment horizontal="right" vertical="center"/>
    </xf>
    <xf numFmtId="0" fontId="14" fillId="5" borderId="14" xfId="0" applyFont="1" applyFill="1" applyBorder="1" applyAlignment="1" applyProtection="1">
      <alignment horizontal="right" vertical="center"/>
    </xf>
    <xf numFmtId="3" fontId="14" fillId="5" borderId="14" xfId="0" applyNumberFormat="1" applyFont="1" applyFill="1" applyBorder="1" applyAlignment="1" applyProtection="1">
      <alignment horizontal="right" vertical="center"/>
    </xf>
    <xf numFmtId="3" fontId="14" fillId="5" borderId="15" xfId="0" applyNumberFormat="1" applyFont="1" applyFill="1" applyBorder="1" applyAlignment="1" applyProtection="1">
      <alignment horizontal="center" vertical="center"/>
    </xf>
    <xf numFmtId="0" fontId="14" fillId="5" borderId="16" xfId="0" applyFont="1" applyFill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3" fontId="9" fillId="0" borderId="0" xfId="0" applyNumberFormat="1" applyFont="1" applyBorder="1" applyAlignment="1">
      <alignment horizontal="center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15" fillId="6" borderId="0" xfId="0" applyFont="1" applyFill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/>
    </xf>
    <xf numFmtId="0" fontId="7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7" fillId="0" borderId="0" xfId="0" applyFont="1" applyFill="1" applyAlignment="1" applyProtection="1">
      <alignment horizontal="center"/>
      <protection locked="0"/>
    </xf>
    <xf numFmtId="3" fontId="13" fillId="0" borderId="20" xfId="0" applyNumberFormat="1" applyFont="1" applyBorder="1" applyAlignment="1">
      <alignment horizontal="center"/>
    </xf>
    <xf numFmtId="0" fontId="16" fillId="0" borderId="0" xfId="0" applyFont="1" applyAlignment="1" applyProtection="1">
      <alignment horizontal="center"/>
      <protection locked="0"/>
    </xf>
    <xf numFmtId="164" fontId="16" fillId="0" borderId="0" xfId="0" applyNumberFormat="1" applyFont="1" applyAlignment="1" applyProtection="1">
      <alignment horizontal="center"/>
    </xf>
    <xf numFmtId="0" fontId="11" fillId="2" borderId="17" xfId="0" applyFont="1" applyFill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/>
    </xf>
    <xf numFmtId="14" fontId="6" fillId="0" borderId="19" xfId="0" applyNumberFormat="1" applyFont="1" applyBorder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 vertical="justify" wrapText="1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7" fillId="0" borderId="0" xfId="0" applyFont="1" applyFill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18" fillId="7" borderId="0" xfId="0" applyFont="1" applyFill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numFmt numFmtId="164" formatCode="0.0"/>
      <protection locked="0" hidden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medium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thin">
          <color indexed="64"/>
        </bottom>
      </border>
      <protection locked="0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protection locked="0" hidden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352425</xdr:colOff>
      <xdr:row>0</xdr:row>
      <xdr:rowOff>161925</xdr:rowOff>
    </xdr:from>
    <xdr:to>
      <xdr:col>20</xdr:col>
      <xdr:colOff>571500</xdr:colOff>
      <xdr:row>5</xdr:row>
      <xdr:rowOff>257175</xdr:rowOff>
    </xdr:to>
    <xdr:pic>
      <xdr:nvPicPr>
        <xdr:cNvPr id="1472" name="1 Imagen">
          <a:extLst>
            <a:ext uri="{FF2B5EF4-FFF2-40B4-BE49-F238E27FC236}">
              <a16:creationId xmlns:a16="http://schemas.microsoft.com/office/drawing/2014/main" id="{B4583A1F-3D0D-43B5-B058-9AD309CBD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61925"/>
          <a:ext cx="15144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14:W37" totalsRowShown="0" headerRowDxfId="49" dataDxfId="47" headerRowBorderDxfId="48" tableBorderDxfId="46">
  <autoFilter ref="B14:W37" xr:uid="{00000000-0009-0000-0100-000001000000}"/>
  <tableColumns count="22">
    <tableColumn id="1" xr3:uid="{00000000-0010-0000-0000-000001000000}" name="LOTE" dataDxfId="45"/>
    <tableColumn id="2" xr3:uid="{00000000-0010-0000-0000-000002000000}" name="CH" dataDxfId="44"/>
    <tableColumn id="3" xr3:uid="{00000000-0010-0000-0000-000003000000}" name="Sal_x000a_CH" dataDxfId="43"/>
    <tableColumn id="4" xr3:uid="{00000000-0010-0000-0000-000004000000}" name="HL" dataDxfId="42"/>
    <tableColumn id="5" xr3:uid="{00000000-0010-0000-0000-000005000000}" name="Sal_x000a_HL" dataDxfId="41"/>
    <tableColumn id="6" xr3:uid="{00000000-0010-0000-0000-000006000000}" name="NV" dataDxfId="40"/>
    <tableColumn id="7" xr3:uid="{00000000-0010-0000-0000-000007000000}" name="Sal_x000a_NV" dataDxfId="39"/>
    <tableColumn id="8" xr3:uid="{00000000-0010-0000-0000-000008000000}" name="VP" dataDxfId="38"/>
    <tableColumn id="9" xr3:uid="{00000000-0010-0000-0000-000009000000}" name="Sal_x000a_VP" dataDxfId="37"/>
    <tableColumn id="10" xr3:uid="{00000000-0010-0000-0000-00000A000000}" name="VS" dataDxfId="36"/>
    <tableColumn id="11" xr3:uid="{00000000-0010-0000-0000-00000B000000}" name="Sal_x000a_VS" dataDxfId="35"/>
    <tableColumn id="12" xr3:uid="{00000000-0010-0000-0000-00000C000000}" name="CM" dataDxfId="34"/>
    <tableColumn id="13" xr3:uid="{00000000-0010-0000-0000-00000D000000}" name="Sal CM" dataDxfId="33"/>
    <tableColumn id="14" xr3:uid="{00000000-0010-0000-0000-00000E000000}" name="ML" dataDxfId="32"/>
    <tableColumn id="15" xr3:uid="{00000000-0010-0000-0000-00000F000000}" name="Sal ML" dataDxfId="31"/>
    <tableColumn id="16" xr3:uid="{00000000-0010-0000-0000-000010000000}" name="MC" dataDxfId="30"/>
    <tableColumn id="17" xr3:uid="{00000000-0010-0000-0000-000011000000}" name="Sal MC" dataDxfId="29"/>
    <tableColumn id="18" xr3:uid="{00000000-0010-0000-0000-000012000000}" name="T" dataDxfId="28"/>
    <tableColumn id="19" xr3:uid="{00000000-0010-0000-0000-000013000000}" name="Sal_x000a_T" dataDxfId="27"/>
    <tableColumn id="20" xr3:uid="{00000000-0010-0000-0000-000014000000}" name="Total_x000a_Ani_x000a_males" dataDxfId="26"/>
    <tableColumn id="21" xr3:uid="{00000000-0010-0000-0000-000015000000}" name="Total_x000a_Gr Sal Lote" dataDxfId="25"/>
    <tableColumn id="22" xr3:uid="{00000000-0010-0000-0000-000016000000}" name="TOTAL KILOS" dataDxfId="24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a7" displayName="Tabla7" ref="B10:H11" totalsRowShown="0" headerRowDxfId="23" dataDxfId="22">
  <tableColumns count="7">
    <tableColumn id="1" xr3:uid="{00000000-0010-0000-0100-000001000000}" name="Total Animales _x000a_en Finca" dataDxfId="21"/>
    <tableColumn id="2" xr3:uid="{00000000-0010-0000-0100-000002000000}" name="Total_x000a_Lotes" dataDxfId="20">
      <calculatedColumnFormula>COUNTA(B15:B34)</calculatedColumnFormula>
    </tableColumn>
    <tableColumn id="3" xr3:uid="{00000000-0010-0000-0100-000003000000}" name="Sal Gr_x000a_Dia" dataDxfId="19"/>
    <tableColumn id="4" xr3:uid="{00000000-0010-0000-0100-000004000000}" name="Sal Kilos_x000a_Dia" dataDxfId="18">
      <calculatedColumnFormula>$W$37</calculatedColumnFormula>
    </tableColumn>
    <tableColumn id="5" xr3:uid="{00000000-0010-0000-0100-000005000000}" name="Total Kilos _x000a_Sal Mes" dataDxfId="17"/>
    <tableColumn id="6" xr3:uid="{00000000-0010-0000-0100-000006000000}" name="Bulto_x000a_X?" dataDxfId="16"/>
    <tableColumn id="7" xr3:uid="{00000000-0010-0000-0100-000007000000}" name="Total Sal_x000a_Mes x Bulto" dataDxfId="15">
      <calculatedColumnFormula>F11/G11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la9" displayName="Tabla9" ref="J10:R11" totalsRowShown="0" headerRowDxfId="14" dataDxfId="13">
  <tableColumns count="9">
    <tableColumn id="1" xr3:uid="{00000000-0010-0000-0200-000001000000}" name="CH" dataDxfId="12">
      <calculatedColumnFormula>SUM(C15:C35)</calculatedColumnFormula>
    </tableColumn>
    <tableColumn id="2" xr3:uid="{00000000-0010-0000-0200-000002000000}" name="HL" dataDxfId="11">
      <calculatedColumnFormula>SUM(E15:E35)</calculatedColumnFormula>
    </tableColumn>
    <tableColumn id="3" xr3:uid="{00000000-0010-0000-0200-000003000000}" name="NV" dataDxfId="10">
      <calculatedColumnFormula>SUM(G15:G35)</calculatedColumnFormula>
    </tableColumn>
    <tableColumn id="4" xr3:uid="{00000000-0010-0000-0200-000004000000}" name="VP" dataDxfId="9">
      <calculatedColumnFormula>SUM(I15:I35)</calculatedColumnFormula>
    </tableColumn>
    <tableColumn id="5" xr3:uid="{00000000-0010-0000-0200-000005000000}" name="VS" dataDxfId="8">
      <calculatedColumnFormula>SUM(K15:K35)</calculatedColumnFormula>
    </tableColumn>
    <tableColumn id="6" xr3:uid="{00000000-0010-0000-0200-000006000000}" name="CM" dataDxfId="7">
      <calculatedColumnFormula>SUM(M15:M35)</calculatedColumnFormula>
    </tableColumn>
    <tableColumn id="7" xr3:uid="{00000000-0010-0000-0200-000007000000}" name="ML" dataDxfId="6">
      <calculatedColumnFormula>SUM(O15:O35)</calculatedColumnFormula>
    </tableColumn>
    <tableColumn id="8" xr3:uid="{00000000-0010-0000-0200-000008000000}" name="MC" dataDxfId="5">
      <calculatedColumnFormula>SUM(Q15:Q35)</calculatedColumnFormula>
    </tableColumn>
    <tableColumn id="9" xr3:uid="{00000000-0010-0000-0200-000009000000}" name="T" dataDxfId="4">
      <calculatedColumnFormula>SUM(S15:S35)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Tabla12" displayName="Tabla12" ref="B42:C51" totalsRowShown="0" headerRowDxfId="3" dataDxfId="2">
  <autoFilter ref="B42:C51" xr:uid="{00000000-0009-0000-0100-00000C000000}"/>
  <tableColumns count="2">
    <tableColumn id="1" xr3:uid="{00000000-0010-0000-0300-000001000000}" name="ESTADO_x000a_PRODUCTIVO" dataDxfId="1"/>
    <tableColumn id="2" xr3:uid="{00000000-0010-0000-0300-000002000000}" name="CONSUMO GRAMOS _x000a_SAL DIA POR ANIMAL" dataDxfId="0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specto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2.vm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X62"/>
  <sheetViews>
    <sheetView showGridLines="0" showRowColHeaders="0" tabSelected="1" zoomScale="90" zoomScaleNormal="90" workbookViewId="0">
      <selection activeCell="I7" sqref="I7:N7"/>
    </sheetView>
  </sheetViews>
  <sheetFormatPr baseColWidth="10" defaultRowHeight="15.75" x14ac:dyDescent="0.25"/>
  <cols>
    <col min="1" max="1" width="5.28515625" style="1" customWidth="1"/>
    <col min="2" max="2" width="26.28515625" style="2" bestFit="1" customWidth="1"/>
    <col min="3" max="9" width="12.85546875" style="2" customWidth="1"/>
    <col min="10" max="10" width="10" style="2" customWidth="1"/>
    <col min="11" max="11" width="9.140625" style="2" bestFit="1" customWidth="1"/>
    <col min="12" max="12" width="6.42578125" style="2" bestFit="1" customWidth="1"/>
    <col min="13" max="13" width="7.5703125" style="2" customWidth="1"/>
    <col min="14" max="14" width="6.7109375" style="2" bestFit="1" customWidth="1"/>
    <col min="15" max="15" width="9.28515625" style="2" bestFit="1" customWidth="1"/>
    <col min="16" max="16" width="6.42578125" style="2" bestFit="1" customWidth="1"/>
    <col min="17" max="17" width="9.5703125" style="2" bestFit="1" customWidth="1"/>
    <col min="18" max="18" width="6.7109375" style="2" bestFit="1" customWidth="1"/>
    <col min="19" max="19" width="6" style="2" customWidth="1"/>
    <col min="20" max="20" width="6.7109375" style="2" customWidth="1"/>
    <col min="21" max="21" width="12.42578125" style="2" bestFit="1" customWidth="1"/>
    <col min="22" max="22" width="15" style="2" customWidth="1"/>
    <col min="23" max="23" width="16.5703125" style="2" customWidth="1"/>
    <col min="24" max="16384" width="11.42578125" style="2"/>
  </cols>
  <sheetData>
    <row r="1" spans="1:23" ht="26.25" customHeight="1" x14ac:dyDescent="0.35">
      <c r="B1" s="67" t="s">
        <v>18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</row>
    <row r="2" spans="1:23" ht="21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9.5" customHeight="1" x14ac:dyDescent="0.35">
      <c r="B3" s="67" t="s">
        <v>22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 spans="1:23" ht="23.25" customHeight="1" x14ac:dyDescent="0.35">
      <c r="B4" s="67" t="s">
        <v>61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 spans="1:23" ht="23.25" customHeight="1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23.25" customHeight="1" x14ac:dyDescent="0.25">
      <c r="B6" s="4" t="s">
        <v>56</v>
      </c>
      <c r="D6" s="70" t="s">
        <v>57</v>
      </c>
      <c r="E6" s="70"/>
      <c r="F6" s="70"/>
      <c r="G6" s="70"/>
      <c r="I6" s="70" t="s">
        <v>58</v>
      </c>
      <c r="J6" s="70"/>
      <c r="K6" s="70"/>
      <c r="L6" s="70"/>
      <c r="M6" s="70"/>
      <c r="N6" s="70"/>
      <c r="O6" s="4"/>
      <c r="P6" s="4"/>
      <c r="Q6" s="4"/>
      <c r="R6" s="4"/>
      <c r="S6" s="4"/>
      <c r="T6" s="4"/>
      <c r="U6" s="4"/>
      <c r="V6" s="4"/>
      <c r="W6" s="4"/>
    </row>
    <row r="7" spans="1:23" ht="23.25" customHeight="1" thickBot="1" x14ac:dyDescent="0.3">
      <c r="B7" s="63"/>
      <c r="C7" s="4"/>
      <c r="D7" s="69"/>
      <c r="E7" s="69"/>
      <c r="F7" s="69"/>
      <c r="G7" s="69"/>
      <c r="H7" s="4"/>
      <c r="I7" s="69"/>
      <c r="J7" s="69"/>
      <c r="K7" s="69"/>
      <c r="L7" s="69"/>
      <c r="M7" s="69"/>
      <c r="N7" s="69"/>
      <c r="O7" s="4"/>
      <c r="P7" s="4"/>
      <c r="Q7" s="4"/>
      <c r="R7" s="4"/>
      <c r="S7" s="4"/>
      <c r="T7" s="4"/>
      <c r="U7" s="4"/>
      <c r="V7" s="4"/>
      <c r="W7" s="4"/>
    </row>
    <row r="8" spans="1:23" ht="23.25" customHeight="1" thickTop="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23.25" customHeight="1" x14ac:dyDescent="0.25">
      <c r="B9" s="72" t="s">
        <v>59</v>
      </c>
      <c r="C9" s="72"/>
      <c r="D9" s="72"/>
      <c r="E9" s="72"/>
      <c r="F9" s="72"/>
      <c r="G9" s="72"/>
      <c r="H9" s="72"/>
      <c r="I9" s="55"/>
      <c r="J9" s="73" t="s">
        <v>74</v>
      </c>
      <c r="K9" s="73"/>
      <c r="L9" s="73"/>
      <c r="M9" s="73"/>
      <c r="N9" s="73"/>
      <c r="O9" s="73"/>
      <c r="P9" s="73"/>
      <c r="Q9" s="73"/>
      <c r="R9" s="73"/>
      <c r="S9" s="56"/>
      <c r="T9" s="4"/>
      <c r="U9" s="4"/>
      <c r="V9" s="4"/>
      <c r="W9" s="4"/>
    </row>
    <row r="10" spans="1:23" ht="53.25" customHeight="1" x14ac:dyDescent="0.25">
      <c r="B10" s="52" t="s">
        <v>71</v>
      </c>
      <c r="C10" s="52" t="s">
        <v>68</v>
      </c>
      <c r="D10" s="52" t="s">
        <v>69</v>
      </c>
      <c r="E10" s="53" t="s">
        <v>70</v>
      </c>
      <c r="F10" s="52" t="s">
        <v>72</v>
      </c>
      <c r="G10" s="52" t="s">
        <v>75</v>
      </c>
      <c r="H10" s="52" t="s">
        <v>73</v>
      </c>
      <c r="J10" s="5" t="s">
        <v>4</v>
      </c>
      <c r="K10" s="5" t="s">
        <v>5</v>
      </c>
      <c r="L10" s="5" t="s">
        <v>6</v>
      </c>
      <c r="M10" s="5" t="s">
        <v>3</v>
      </c>
      <c r="N10" s="5" t="s">
        <v>21</v>
      </c>
      <c r="O10" s="5" t="s">
        <v>0</v>
      </c>
      <c r="P10" s="5" t="s">
        <v>1</v>
      </c>
      <c r="Q10" s="5" t="s">
        <v>23</v>
      </c>
      <c r="R10" s="5" t="s">
        <v>66</v>
      </c>
      <c r="S10" s="4"/>
      <c r="T10" s="4"/>
      <c r="U10" s="4"/>
      <c r="V10" s="4"/>
    </row>
    <row r="11" spans="1:23" ht="28.5" customHeight="1" x14ac:dyDescent="0.35">
      <c r="B11" s="54">
        <f>$U$36</f>
        <v>0</v>
      </c>
      <c r="C11" s="54">
        <f>COUNTA(B15:B34)</f>
        <v>20</v>
      </c>
      <c r="D11" s="58">
        <f>$V$37</f>
        <v>0</v>
      </c>
      <c r="E11" s="54">
        <f>$W$37</f>
        <v>0</v>
      </c>
      <c r="F11" s="54">
        <f>E11*30</f>
        <v>0</v>
      </c>
      <c r="G11" s="59">
        <v>40</v>
      </c>
      <c r="H11" s="60">
        <f>F11/G11</f>
        <v>0</v>
      </c>
      <c r="I11" s="4"/>
      <c r="J11" s="54">
        <f>SUM(C15:C35)</f>
        <v>0</v>
      </c>
      <c r="K11" s="54">
        <f>SUM(E15:E35)</f>
        <v>0</v>
      </c>
      <c r="L11" s="54">
        <f>SUM(G15:G35)</f>
        <v>0</v>
      </c>
      <c r="M11" s="54">
        <f>SUM(I15:I35)</f>
        <v>0</v>
      </c>
      <c r="N11" s="54">
        <f>SUM(K15:K35)</f>
        <v>0</v>
      </c>
      <c r="O11" s="54">
        <f>SUM(M15:M35)</f>
        <v>0</v>
      </c>
      <c r="P11" s="54">
        <f>SUM(O15:O35)</f>
        <v>0</v>
      </c>
      <c r="Q11" s="54">
        <f>SUM(Q15:Q35)</f>
        <v>0</v>
      </c>
      <c r="R11" s="54">
        <f>SUM(S15:S35)</f>
        <v>0</v>
      </c>
      <c r="S11" s="4"/>
      <c r="T11" s="4"/>
      <c r="U11" s="4"/>
      <c r="V11" s="4"/>
    </row>
    <row r="12" spans="1:23" ht="29.25" customHeight="1" x14ac:dyDescent="0.35">
      <c r="B12" s="39"/>
      <c r="C12" s="38"/>
      <c r="D12" s="51"/>
      <c r="E12" s="38"/>
      <c r="F12" s="38"/>
      <c r="G12" s="50"/>
      <c r="H12" s="40"/>
      <c r="J12" s="71">
        <f>SUM(J11:R11)</f>
        <v>0</v>
      </c>
      <c r="K12" s="71"/>
      <c r="L12" s="71"/>
      <c r="M12" s="71"/>
      <c r="N12" s="71"/>
      <c r="O12" s="71"/>
      <c r="P12" s="71"/>
      <c r="Q12" s="71"/>
      <c r="R12" s="71"/>
      <c r="S12" s="57"/>
      <c r="T12" s="50"/>
      <c r="U12" s="50"/>
      <c r="V12" s="50"/>
      <c r="W12" s="50"/>
    </row>
    <row r="13" spans="1:23" ht="23.25" customHeight="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64.5" customHeight="1" thickBot="1" x14ac:dyDescent="0.3">
      <c r="B14" s="6" t="s">
        <v>16</v>
      </c>
      <c r="C14" s="61" t="s">
        <v>4</v>
      </c>
      <c r="D14" s="7" t="s">
        <v>38</v>
      </c>
      <c r="E14" s="61" t="s">
        <v>5</v>
      </c>
      <c r="F14" s="7" t="s">
        <v>39</v>
      </c>
      <c r="G14" s="61" t="s">
        <v>6</v>
      </c>
      <c r="H14" s="7" t="s">
        <v>40</v>
      </c>
      <c r="I14" s="61" t="s">
        <v>3</v>
      </c>
      <c r="J14" s="7" t="s">
        <v>41</v>
      </c>
      <c r="K14" s="61" t="s">
        <v>21</v>
      </c>
      <c r="L14" s="7" t="s">
        <v>60</v>
      </c>
      <c r="M14" s="61" t="s">
        <v>0</v>
      </c>
      <c r="N14" s="7" t="s">
        <v>42</v>
      </c>
      <c r="O14" s="61" t="s">
        <v>1</v>
      </c>
      <c r="P14" s="7" t="s">
        <v>43</v>
      </c>
      <c r="Q14" s="61" t="s">
        <v>23</v>
      </c>
      <c r="R14" s="7" t="s">
        <v>44</v>
      </c>
      <c r="S14" s="61" t="s">
        <v>66</v>
      </c>
      <c r="T14" s="7" t="s">
        <v>67</v>
      </c>
      <c r="U14" s="8" t="s">
        <v>25</v>
      </c>
      <c r="V14" s="9" t="s">
        <v>24</v>
      </c>
      <c r="W14" s="10" t="s">
        <v>14</v>
      </c>
    </row>
    <row r="15" spans="1:23" ht="32.25" customHeight="1" thickBot="1" x14ac:dyDescent="0.3">
      <c r="A15" s="1">
        <v>1</v>
      </c>
      <c r="B15" s="11" t="s">
        <v>26</v>
      </c>
      <c r="C15" s="12">
        <v>0</v>
      </c>
      <c r="D15" s="41">
        <f t="shared" ref="D15:D34" si="0">C15*$C$43</f>
        <v>0</v>
      </c>
      <c r="E15" s="13">
        <v>0</v>
      </c>
      <c r="F15" s="41">
        <f t="shared" ref="F15:F34" si="1">E15*$C$45</f>
        <v>0</v>
      </c>
      <c r="G15" s="13">
        <v>0</v>
      </c>
      <c r="H15" s="41">
        <f t="shared" ref="H15:H34" si="2">G15*$C$47</f>
        <v>0</v>
      </c>
      <c r="I15" s="13">
        <v>0</v>
      </c>
      <c r="J15" s="41">
        <f t="shared" ref="J15:J34" si="3">I15*$C$51</f>
        <v>0</v>
      </c>
      <c r="K15" s="13">
        <v>0</v>
      </c>
      <c r="L15" s="41">
        <f t="shared" ref="L15:L34" si="4">K15*$C$50</f>
        <v>0</v>
      </c>
      <c r="M15" s="13">
        <v>0</v>
      </c>
      <c r="N15" s="41">
        <f t="shared" ref="N15:N34" si="5">M15*$C$44</f>
        <v>0</v>
      </c>
      <c r="O15" s="13">
        <v>0</v>
      </c>
      <c r="P15" s="41">
        <f t="shared" ref="P15:P34" si="6">O15*$C$46</f>
        <v>0</v>
      </c>
      <c r="Q15" s="13">
        <v>0</v>
      </c>
      <c r="R15" s="41">
        <f t="shared" ref="R15:R34" si="7">Q15*$C$48</f>
        <v>0</v>
      </c>
      <c r="S15" s="13">
        <v>0</v>
      </c>
      <c r="T15" s="41">
        <f t="shared" ref="T15:T34" si="8">S15*$C$49</f>
        <v>0</v>
      </c>
      <c r="U15" s="42">
        <f>C15+E15+G15+I15+K15+M15+O15+Q15+S15</f>
        <v>0</v>
      </c>
      <c r="V15" s="43">
        <f>D15+F15+H15+J15+L15+N15+P15+R15+T15</f>
        <v>0</v>
      </c>
      <c r="W15" s="62">
        <f>V15/1000</f>
        <v>0</v>
      </c>
    </row>
    <row r="16" spans="1:23" ht="32.25" customHeight="1" thickBot="1" x14ac:dyDescent="0.3">
      <c r="A16" s="1">
        <v>2</v>
      </c>
      <c r="B16" s="11" t="s">
        <v>27</v>
      </c>
      <c r="C16" s="14">
        <v>0</v>
      </c>
      <c r="D16" s="41">
        <f t="shared" si="0"/>
        <v>0</v>
      </c>
      <c r="E16" s="13">
        <v>0</v>
      </c>
      <c r="F16" s="41">
        <f t="shared" si="1"/>
        <v>0</v>
      </c>
      <c r="G16" s="13">
        <v>0</v>
      </c>
      <c r="H16" s="41">
        <f t="shared" si="2"/>
        <v>0</v>
      </c>
      <c r="I16" s="13">
        <v>0</v>
      </c>
      <c r="J16" s="41">
        <f t="shared" si="3"/>
        <v>0</v>
      </c>
      <c r="K16" s="13">
        <v>0</v>
      </c>
      <c r="L16" s="41">
        <f t="shared" si="4"/>
        <v>0</v>
      </c>
      <c r="M16" s="13">
        <v>0</v>
      </c>
      <c r="N16" s="41">
        <f t="shared" si="5"/>
        <v>0</v>
      </c>
      <c r="O16" s="13">
        <v>0</v>
      </c>
      <c r="P16" s="41">
        <f t="shared" si="6"/>
        <v>0</v>
      </c>
      <c r="Q16" s="13">
        <v>0</v>
      </c>
      <c r="R16" s="41">
        <f t="shared" si="7"/>
        <v>0</v>
      </c>
      <c r="S16" s="13">
        <v>0</v>
      </c>
      <c r="T16" s="41">
        <f t="shared" si="8"/>
        <v>0</v>
      </c>
      <c r="U16" s="42">
        <f t="shared" ref="U16:U34" si="9">C16+E16+G16+I16+K16+M16+O16+Q16+S16</f>
        <v>0</v>
      </c>
      <c r="V16" s="43">
        <f t="shared" ref="V16:V34" si="10">D16+F16+H16+J16+L16+N16+P16+R16+T16</f>
        <v>0</v>
      </c>
      <c r="W16" s="62">
        <f t="shared" ref="W16:W34" si="11">V16/1000</f>
        <v>0</v>
      </c>
    </row>
    <row r="17" spans="1:23" ht="32.25" customHeight="1" thickBot="1" x14ac:dyDescent="0.3">
      <c r="A17" s="1">
        <v>3</v>
      </c>
      <c r="B17" s="11" t="s">
        <v>28</v>
      </c>
      <c r="C17" s="14">
        <v>0</v>
      </c>
      <c r="D17" s="41">
        <f t="shared" si="0"/>
        <v>0</v>
      </c>
      <c r="E17" s="13">
        <v>0</v>
      </c>
      <c r="F17" s="41">
        <f t="shared" si="1"/>
        <v>0</v>
      </c>
      <c r="G17" s="13">
        <v>0</v>
      </c>
      <c r="H17" s="41">
        <f t="shared" si="2"/>
        <v>0</v>
      </c>
      <c r="I17" s="13">
        <v>0</v>
      </c>
      <c r="J17" s="41">
        <f t="shared" si="3"/>
        <v>0</v>
      </c>
      <c r="K17" s="13">
        <v>0</v>
      </c>
      <c r="L17" s="41">
        <f t="shared" si="4"/>
        <v>0</v>
      </c>
      <c r="M17" s="13">
        <v>0</v>
      </c>
      <c r="N17" s="41">
        <f t="shared" si="5"/>
        <v>0</v>
      </c>
      <c r="O17" s="13">
        <v>0</v>
      </c>
      <c r="P17" s="41">
        <f t="shared" si="6"/>
        <v>0</v>
      </c>
      <c r="Q17" s="13">
        <v>0</v>
      </c>
      <c r="R17" s="41">
        <f t="shared" si="7"/>
        <v>0</v>
      </c>
      <c r="S17" s="13">
        <v>0</v>
      </c>
      <c r="T17" s="41">
        <f t="shared" si="8"/>
        <v>0</v>
      </c>
      <c r="U17" s="42">
        <f t="shared" si="9"/>
        <v>0</v>
      </c>
      <c r="V17" s="43">
        <f t="shared" si="10"/>
        <v>0</v>
      </c>
      <c r="W17" s="62">
        <f t="shared" si="11"/>
        <v>0</v>
      </c>
    </row>
    <row r="18" spans="1:23" ht="32.25" customHeight="1" thickBot="1" x14ac:dyDescent="0.3">
      <c r="A18" s="1">
        <v>4</v>
      </c>
      <c r="B18" s="11" t="s">
        <v>29</v>
      </c>
      <c r="C18" s="14">
        <v>0</v>
      </c>
      <c r="D18" s="41">
        <f t="shared" si="0"/>
        <v>0</v>
      </c>
      <c r="E18" s="13">
        <v>0</v>
      </c>
      <c r="F18" s="41">
        <f t="shared" si="1"/>
        <v>0</v>
      </c>
      <c r="G18" s="13">
        <v>0</v>
      </c>
      <c r="H18" s="41">
        <f t="shared" si="2"/>
        <v>0</v>
      </c>
      <c r="I18" s="13">
        <v>0</v>
      </c>
      <c r="J18" s="41">
        <f t="shared" si="3"/>
        <v>0</v>
      </c>
      <c r="K18" s="13">
        <v>0</v>
      </c>
      <c r="L18" s="41">
        <f t="shared" si="4"/>
        <v>0</v>
      </c>
      <c r="M18" s="13">
        <v>0</v>
      </c>
      <c r="N18" s="41">
        <f t="shared" si="5"/>
        <v>0</v>
      </c>
      <c r="O18" s="13">
        <v>0</v>
      </c>
      <c r="P18" s="41">
        <f t="shared" si="6"/>
        <v>0</v>
      </c>
      <c r="Q18" s="13">
        <v>0</v>
      </c>
      <c r="R18" s="41">
        <f t="shared" si="7"/>
        <v>0</v>
      </c>
      <c r="S18" s="13">
        <v>0</v>
      </c>
      <c r="T18" s="41">
        <f t="shared" si="8"/>
        <v>0</v>
      </c>
      <c r="U18" s="42">
        <f t="shared" si="9"/>
        <v>0</v>
      </c>
      <c r="V18" s="43">
        <f t="shared" si="10"/>
        <v>0</v>
      </c>
      <c r="W18" s="62">
        <f t="shared" si="11"/>
        <v>0</v>
      </c>
    </row>
    <row r="19" spans="1:23" ht="32.25" customHeight="1" thickBot="1" x14ac:dyDescent="0.3">
      <c r="A19" s="1">
        <v>5</v>
      </c>
      <c r="B19" s="11" t="s">
        <v>30</v>
      </c>
      <c r="C19" s="14">
        <v>0</v>
      </c>
      <c r="D19" s="41">
        <f t="shared" si="0"/>
        <v>0</v>
      </c>
      <c r="E19" s="13">
        <v>0</v>
      </c>
      <c r="F19" s="41">
        <f t="shared" si="1"/>
        <v>0</v>
      </c>
      <c r="G19" s="13">
        <v>0</v>
      </c>
      <c r="H19" s="41">
        <f t="shared" si="2"/>
        <v>0</v>
      </c>
      <c r="I19" s="13">
        <v>0</v>
      </c>
      <c r="J19" s="41">
        <f t="shared" si="3"/>
        <v>0</v>
      </c>
      <c r="K19" s="13">
        <v>0</v>
      </c>
      <c r="L19" s="41">
        <f t="shared" si="4"/>
        <v>0</v>
      </c>
      <c r="M19" s="13">
        <v>0</v>
      </c>
      <c r="N19" s="41">
        <f t="shared" si="5"/>
        <v>0</v>
      </c>
      <c r="O19" s="13">
        <v>0</v>
      </c>
      <c r="P19" s="41">
        <f t="shared" si="6"/>
        <v>0</v>
      </c>
      <c r="Q19" s="13">
        <v>0</v>
      </c>
      <c r="R19" s="41">
        <f t="shared" si="7"/>
        <v>0</v>
      </c>
      <c r="S19" s="13">
        <v>0</v>
      </c>
      <c r="T19" s="41">
        <f t="shared" si="8"/>
        <v>0</v>
      </c>
      <c r="U19" s="42">
        <f t="shared" si="9"/>
        <v>0</v>
      </c>
      <c r="V19" s="43">
        <f t="shared" si="10"/>
        <v>0</v>
      </c>
      <c r="W19" s="62">
        <f t="shared" si="11"/>
        <v>0</v>
      </c>
    </row>
    <row r="20" spans="1:23" ht="32.25" customHeight="1" thickBot="1" x14ac:dyDescent="0.3">
      <c r="A20" s="1">
        <v>6</v>
      </c>
      <c r="B20" s="11" t="s">
        <v>31</v>
      </c>
      <c r="C20" s="14">
        <v>0</v>
      </c>
      <c r="D20" s="41">
        <f t="shared" si="0"/>
        <v>0</v>
      </c>
      <c r="E20" s="13">
        <v>0</v>
      </c>
      <c r="F20" s="41">
        <f t="shared" si="1"/>
        <v>0</v>
      </c>
      <c r="G20" s="13">
        <v>0</v>
      </c>
      <c r="H20" s="41">
        <f t="shared" si="2"/>
        <v>0</v>
      </c>
      <c r="I20" s="13">
        <v>0</v>
      </c>
      <c r="J20" s="41">
        <f t="shared" si="3"/>
        <v>0</v>
      </c>
      <c r="K20" s="13">
        <v>0</v>
      </c>
      <c r="L20" s="41">
        <f t="shared" si="4"/>
        <v>0</v>
      </c>
      <c r="M20" s="13">
        <v>0</v>
      </c>
      <c r="N20" s="41">
        <f t="shared" si="5"/>
        <v>0</v>
      </c>
      <c r="O20" s="13">
        <v>0</v>
      </c>
      <c r="P20" s="41">
        <f t="shared" si="6"/>
        <v>0</v>
      </c>
      <c r="Q20" s="13">
        <v>0</v>
      </c>
      <c r="R20" s="41">
        <f t="shared" si="7"/>
        <v>0</v>
      </c>
      <c r="S20" s="13">
        <v>0</v>
      </c>
      <c r="T20" s="41">
        <f t="shared" si="8"/>
        <v>0</v>
      </c>
      <c r="U20" s="42">
        <f t="shared" si="9"/>
        <v>0</v>
      </c>
      <c r="V20" s="43">
        <f t="shared" si="10"/>
        <v>0</v>
      </c>
      <c r="W20" s="62">
        <f t="shared" si="11"/>
        <v>0</v>
      </c>
    </row>
    <row r="21" spans="1:23" ht="32.25" customHeight="1" thickBot="1" x14ac:dyDescent="0.3">
      <c r="A21" s="1">
        <v>7</v>
      </c>
      <c r="B21" s="11" t="s">
        <v>32</v>
      </c>
      <c r="C21" s="14">
        <v>0</v>
      </c>
      <c r="D21" s="41">
        <f t="shared" si="0"/>
        <v>0</v>
      </c>
      <c r="E21" s="13">
        <v>0</v>
      </c>
      <c r="F21" s="41">
        <f t="shared" si="1"/>
        <v>0</v>
      </c>
      <c r="G21" s="13">
        <v>0</v>
      </c>
      <c r="H21" s="41">
        <f t="shared" si="2"/>
        <v>0</v>
      </c>
      <c r="I21" s="13">
        <v>0</v>
      </c>
      <c r="J21" s="41">
        <f t="shared" si="3"/>
        <v>0</v>
      </c>
      <c r="K21" s="13">
        <v>0</v>
      </c>
      <c r="L21" s="41">
        <f t="shared" si="4"/>
        <v>0</v>
      </c>
      <c r="M21" s="13">
        <v>0</v>
      </c>
      <c r="N21" s="41">
        <f t="shared" si="5"/>
        <v>0</v>
      </c>
      <c r="O21" s="13">
        <v>0</v>
      </c>
      <c r="P21" s="41">
        <f t="shared" si="6"/>
        <v>0</v>
      </c>
      <c r="Q21" s="13">
        <v>0</v>
      </c>
      <c r="R21" s="41">
        <f t="shared" si="7"/>
        <v>0</v>
      </c>
      <c r="S21" s="13">
        <v>0</v>
      </c>
      <c r="T21" s="41">
        <f t="shared" si="8"/>
        <v>0</v>
      </c>
      <c r="U21" s="42">
        <f t="shared" si="9"/>
        <v>0</v>
      </c>
      <c r="V21" s="43">
        <f t="shared" si="10"/>
        <v>0</v>
      </c>
      <c r="W21" s="62">
        <f t="shared" si="11"/>
        <v>0</v>
      </c>
    </row>
    <row r="22" spans="1:23" ht="32.25" customHeight="1" thickBot="1" x14ac:dyDescent="0.3">
      <c r="A22" s="1">
        <v>8</v>
      </c>
      <c r="B22" s="11" t="s">
        <v>33</v>
      </c>
      <c r="C22" s="14">
        <v>0</v>
      </c>
      <c r="D22" s="41">
        <f t="shared" si="0"/>
        <v>0</v>
      </c>
      <c r="E22" s="13">
        <v>0</v>
      </c>
      <c r="F22" s="41">
        <f t="shared" si="1"/>
        <v>0</v>
      </c>
      <c r="G22" s="13">
        <v>0</v>
      </c>
      <c r="H22" s="41">
        <f t="shared" si="2"/>
        <v>0</v>
      </c>
      <c r="I22" s="13">
        <v>0</v>
      </c>
      <c r="J22" s="41">
        <f t="shared" si="3"/>
        <v>0</v>
      </c>
      <c r="K22" s="13">
        <v>0</v>
      </c>
      <c r="L22" s="41">
        <f t="shared" si="4"/>
        <v>0</v>
      </c>
      <c r="M22" s="13">
        <v>0</v>
      </c>
      <c r="N22" s="41">
        <f t="shared" si="5"/>
        <v>0</v>
      </c>
      <c r="O22" s="13">
        <v>0</v>
      </c>
      <c r="P22" s="41">
        <f t="shared" si="6"/>
        <v>0</v>
      </c>
      <c r="Q22" s="13">
        <v>0</v>
      </c>
      <c r="R22" s="41">
        <f t="shared" si="7"/>
        <v>0</v>
      </c>
      <c r="S22" s="13">
        <v>0</v>
      </c>
      <c r="T22" s="41">
        <f t="shared" si="8"/>
        <v>0</v>
      </c>
      <c r="U22" s="42">
        <f t="shared" si="9"/>
        <v>0</v>
      </c>
      <c r="V22" s="43">
        <f t="shared" si="10"/>
        <v>0</v>
      </c>
      <c r="W22" s="62">
        <f t="shared" si="11"/>
        <v>0</v>
      </c>
    </row>
    <row r="23" spans="1:23" ht="32.25" customHeight="1" thickBot="1" x14ac:dyDescent="0.3">
      <c r="A23" s="1">
        <v>9</v>
      </c>
      <c r="B23" s="11" t="s">
        <v>34</v>
      </c>
      <c r="C23" s="14">
        <v>0</v>
      </c>
      <c r="D23" s="41">
        <f t="shared" si="0"/>
        <v>0</v>
      </c>
      <c r="E23" s="13">
        <v>0</v>
      </c>
      <c r="F23" s="41">
        <f t="shared" si="1"/>
        <v>0</v>
      </c>
      <c r="G23" s="13">
        <v>0</v>
      </c>
      <c r="H23" s="41">
        <f t="shared" si="2"/>
        <v>0</v>
      </c>
      <c r="I23" s="13">
        <v>0</v>
      </c>
      <c r="J23" s="41">
        <f t="shared" si="3"/>
        <v>0</v>
      </c>
      <c r="K23" s="13">
        <v>0</v>
      </c>
      <c r="L23" s="41">
        <f t="shared" si="4"/>
        <v>0</v>
      </c>
      <c r="M23" s="13">
        <v>0</v>
      </c>
      <c r="N23" s="41">
        <f t="shared" si="5"/>
        <v>0</v>
      </c>
      <c r="O23" s="13">
        <v>0</v>
      </c>
      <c r="P23" s="41">
        <f t="shared" si="6"/>
        <v>0</v>
      </c>
      <c r="Q23" s="13">
        <v>0</v>
      </c>
      <c r="R23" s="41">
        <f t="shared" si="7"/>
        <v>0</v>
      </c>
      <c r="S23" s="13">
        <v>0</v>
      </c>
      <c r="T23" s="41">
        <f t="shared" si="8"/>
        <v>0</v>
      </c>
      <c r="U23" s="42">
        <f t="shared" si="9"/>
        <v>0</v>
      </c>
      <c r="V23" s="43">
        <f t="shared" si="10"/>
        <v>0</v>
      </c>
      <c r="W23" s="62">
        <f t="shared" si="11"/>
        <v>0</v>
      </c>
    </row>
    <row r="24" spans="1:23" ht="32.25" customHeight="1" thickBot="1" x14ac:dyDescent="0.3">
      <c r="A24" s="1">
        <v>10</v>
      </c>
      <c r="B24" s="11" t="s">
        <v>35</v>
      </c>
      <c r="C24" s="14">
        <v>0</v>
      </c>
      <c r="D24" s="41">
        <f t="shared" si="0"/>
        <v>0</v>
      </c>
      <c r="E24" s="13">
        <v>0</v>
      </c>
      <c r="F24" s="41">
        <f t="shared" si="1"/>
        <v>0</v>
      </c>
      <c r="G24" s="13">
        <v>0</v>
      </c>
      <c r="H24" s="41">
        <f t="shared" si="2"/>
        <v>0</v>
      </c>
      <c r="I24" s="13">
        <v>0</v>
      </c>
      <c r="J24" s="41">
        <f t="shared" si="3"/>
        <v>0</v>
      </c>
      <c r="K24" s="13">
        <v>0</v>
      </c>
      <c r="L24" s="41">
        <f t="shared" si="4"/>
        <v>0</v>
      </c>
      <c r="M24" s="13">
        <v>0</v>
      </c>
      <c r="N24" s="41">
        <f t="shared" si="5"/>
        <v>0</v>
      </c>
      <c r="O24" s="13">
        <v>0</v>
      </c>
      <c r="P24" s="41">
        <f t="shared" si="6"/>
        <v>0</v>
      </c>
      <c r="Q24" s="13">
        <v>0</v>
      </c>
      <c r="R24" s="41">
        <f t="shared" si="7"/>
        <v>0</v>
      </c>
      <c r="S24" s="13">
        <v>0</v>
      </c>
      <c r="T24" s="41">
        <f t="shared" si="8"/>
        <v>0</v>
      </c>
      <c r="U24" s="42">
        <f t="shared" si="9"/>
        <v>0</v>
      </c>
      <c r="V24" s="43">
        <f t="shared" si="10"/>
        <v>0</v>
      </c>
      <c r="W24" s="62">
        <f t="shared" si="11"/>
        <v>0</v>
      </c>
    </row>
    <row r="25" spans="1:23" ht="32.25" customHeight="1" thickBot="1" x14ac:dyDescent="0.3">
      <c r="A25" s="1">
        <v>11</v>
      </c>
      <c r="B25" s="11" t="s">
        <v>36</v>
      </c>
      <c r="C25" s="14">
        <v>0</v>
      </c>
      <c r="D25" s="41">
        <f t="shared" si="0"/>
        <v>0</v>
      </c>
      <c r="E25" s="13">
        <v>0</v>
      </c>
      <c r="F25" s="41">
        <f t="shared" si="1"/>
        <v>0</v>
      </c>
      <c r="G25" s="13">
        <v>0</v>
      </c>
      <c r="H25" s="41">
        <f t="shared" si="2"/>
        <v>0</v>
      </c>
      <c r="I25" s="13">
        <v>0</v>
      </c>
      <c r="J25" s="41">
        <f t="shared" si="3"/>
        <v>0</v>
      </c>
      <c r="K25" s="13">
        <v>0</v>
      </c>
      <c r="L25" s="41">
        <f t="shared" si="4"/>
        <v>0</v>
      </c>
      <c r="M25" s="13">
        <v>0</v>
      </c>
      <c r="N25" s="41">
        <f t="shared" si="5"/>
        <v>0</v>
      </c>
      <c r="O25" s="13">
        <v>0</v>
      </c>
      <c r="P25" s="41">
        <f t="shared" si="6"/>
        <v>0</v>
      </c>
      <c r="Q25" s="13">
        <v>0</v>
      </c>
      <c r="R25" s="41">
        <f t="shared" si="7"/>
        <v>0</v>
      </c>
      <c r="S25" s="13">
        <v>0</v>
      </c>
      <c r="T25" s="41">
        <f t="shared" si="8"/>
        <v>0</v>
      </c>
      <c r="U25" s="42">
        <f t="shared" si="9"/>
        <v>0</v>
      </c>
      <c r="V25" s="43">
        <f t="shared" si="10"/>
        <v>0</v>
      </c>
      <c r="W25" s="62">
        <f t="shared" si="11"/>
        <v>0</v>
      </c>
    </row>
    <row r="26" spans="1:23" ht="32.25" customHeight="1" thickBot="1" x14ac:dyDescent="0.3">
      <c r="A26" s="1">
        <v>12</v>
      </c>
      <c r="B26" s="11" t="s">
        <v>37</v>
      </c>
      <c r="C26" s="14">
        <v>0</v>
      </c>
      <c r="D26" s="41">
        <f t="shared" si="0"/>
        <v>0</v>
      </c>
      <c r="E26" s="13">
        <v>0</v>
      </c>
      <c r="F26" s="41">
        <f t="shared" si="1"/>
        <v>0</v>
      </c>
      <c r="G26" s="13">
        <v>0</v>
      </c>
      <c r="H26" s="41">
        <f t="shared" si="2"/>
        <v>0</v>
      </c>
      <c r="I26" s="13">
        <v>0</v>
      </c>
      <c r="J26" s="41">
        <f t="shared" si="3"/>
        <v>0</v>
      </c>
      <c r="K26" s="13">
        <v>0</v>
      </c>
      <c r="L26" s="41">
        <f t="shared" si="4"/>
        <v>0</v>
      </c>
      <c r="M26" s="13">
        <v>0</v>
      </c>
      <c r="N26" s="41">
        <f t="shared" si="5"/>
        <v>0</v>
      </c>
      <c r="O26" s="13">
        <v>0</v>
      </c>
      <c r="P26" s="41">
        <f t="shared" si="6"/>
        <v>0</v>
      </c>
      <c r="Q26" s="13">
        <v>0</v>
      </c>
      <c r="R26" s="41">
        <f t="shared" si="7"/>
        <v>0</v>
      </c>
      <c r="S26" s="13">
        <v>0</v>
      </c>
      <c r="T26" s="41">
        <f t="shared" si="8"/>
        <v>0</v>
      </c>
      <c r="U26" s="42">
        <f t="shared" si="9"/>
        <v>0</v>
      </c>
      <c r="V26" s="43">
        <f t="shared" si="10"/>
        <v>0</v>
      </c>
      <c r="W26" s="62">
        <f t="shared" si="11"/>
        <v>0</v>
      </c>
    </row>
    <row r="27" spans="1:23" ht="32.25" customHeight="1" thickBot="1" x14ac:dyDescent="0.3">
      <c r="A27" s="1">
        <v>13</v>
      </c>
      <c r="B27" s="11" t="s">
        <v>45</v>
      </c>
      <c r="C27" s="14">
        <v>0</v>
      </c>
      <c r="D27" s="41">
        <f t="shared" si="0"/>
        <v>0</v>
      </c>
      <c r="E27" s="13">
        <v>0</v>
      </c>
      <c r="F27" s="41">
        <f t="shared" si="1"/>
        <v>0</v>
      </c>
      <c r="G27" s="13">
        <v>0</v>
      </c>
      <c r="H27" s="41">
        <f t="shared" si="2"/>
        <v>0</v>
      </c>
      <c r="I27" s="13">
        <v>0</v>
      </c>
      <c r="J27" s="41">
        <f t="shared" si="3"/>
        <v>0</v>
      </c>
      <c r="K27" s="13">
        <v>0</v>
      </c>
      <c r="L27" s="41">
        <f t="shared" si="4"/>
        <v>0</v>
      </c>
      <c r="M27" s="13">
        <v>0</v>
      </c>
      <c r="N27" s="41">
        <f t="shared" si="5"/>
        <v>0</v>
      </c>
      <c r="O27" s="13">
        <v>0</v>
      </c>
      <c r="P27" s="41">
        <f t="shared" si="6"/>
        <v>0</v>
      </c>
      <c r="Q27" s="13">
        <v>0</v>
      </c>
      <c r="R27" s="41">
        <f t="shared" si="7"/>
        <v>0</v>
      </c>
      <c r="S27" s="13">
        <v>0</v>
      </c>
      <c r="T27" s="41">
        <f t="shared" si="8"/>
        <v>0</v>
      </c>
      <c r="U27" s="42">
        <f t="shared" si="9"/>
        <v>0</v>
      </c>
      <c r="V27" s="43">
        <f t="shared" si="10"/>
        <v>0</v>
      </c>
      <c r="W27" s="62">
        <f t="shared" si="11"/>
        <v>0</v>
      </c>
    </row>
    <row r="28" spans="1:23" ht="32.25" customHeight="1" thickBot="1" x14ac:dyDescent="0.3">
      <c r="A28" s="1">
        <v>14</v>
      </c>
      <c r="B28" s="11" t="s">
        <v>46</v>
      </c>
      <c r="C28" s="14">
        <v>0</v>
      </c>
      <c r="D28" s="41">
        <f t="shared" si="0"/>
        <v>0</v>
      </c>
      <c r="E28" s="13">
        <v>0</v>
      </c>
      <c r="F28" s="41">
        <f t="shared" si="1"/>
        <v>0</v>
      </c>
      <c r="G28" s="13">
        <v>0</v>
      </c>
      <c r="H28" s="41">
        <f t="shared" si="2"/>
        <v>0</v>
      </c>
      <c r="I28" s="13">
        <v>0</v>
      </c>
      <c r="J28" s="41">
        <f t="shared" si="3"/>
        <v>0</v>
      </c>
      <c r="K28" s="13">
        <v>0</v>
      </c>
      <c r="L28" s="41">
        <f t="shared" si="4"/>
        <v>0</v>
      </c>
      <c r="M28" s="13">
        <v>0</v>
      </c>
      <c r="N28" s="41">
        <f t="shared" si="5"/>
        <v>0</v>
      </c>
      <c r="O28" s="13">
        <v>0</v>
      </c>
      <c r="P28" s="41">
        <f t="shared" si="6"/>
        <v>0</v>
      </c>
      <c r="Q28" s="13">
        <v>0</v>
      </c>
      <c r="R28" s="41">
        <f t="shared" si="7"/>
        <v>0</v>
      </c>
      <c r="S28" s="13">
        <v>0</v>
      </c>
      <c r="T28" s="41">
        <f t="shared" si="8"/>
        <v>0</v>
      </c>
      <c r="U28" s="42">
        <f t="shared" si="9"/>
        <v>0</v>
      </c>
      <c r="V28" s="43">
        <f t="shared" si="10"/>
        <v>0</v>
      </c>
      <c r="W28" s="62">
        <f t="shared" si="11"/>
        <v>0</v>
      </c>
    </row>
    <row r="29" spans="1:23" ht="32.25" customHeight="1" thickBot="1" x14ac:dyDescent="0.3">
      <c r="A29" s="1">
        <v>15</v>
      </c>
      <c r="B29" s="11" t="s">
        <v>47</v>
      </c>
      <c r="C29" s="14">
        <v>0</v>
      </c>
      <c r="D29" s="41">
        <f t="shared" si="0"/>
        <v>0</v>
      </c>
      <c r="E29" s="13">
        <v>0</v>
      </c>
      <c r="F29" s="41">
        <f t="shared" si="1"/>
        <v>0</v>
      </c>
      <c r="G29" s="13">
        <v>0</v>
      </c>
      <c r="H29" s="41">
        <f t="shared" si="2"/>
        <v>0</v>
      </c>
      <c r="I29" s="13">
        <v>0</v>
      </c>
      <c r="J29" s="41">
        <f t="shared" si="3"/>
        <v>0</v>
      </c>
      <c r="K29" s="13">
        <v>0</v>
      </c>
      <c r="L29" s="41">
        <f t="shared" si="4"/>
        <v>0</v>
      </c>
      <c r="M29" s="13">
        <v>0</v>
      </c>
      <c r="N29" s="41">
        <f t="shared" si="5"/>
        <v>0</v>
      </c>
      <c r="O29" s="13">
        <v>0</v>
      </c>
      <c r="P29" s="41">
        <f t="shared" si="6"/>
        <v>0</v>
      </c>
      <c r="Q29" s="13">
        <v>0</v>
      </c>
      <c r="R29" s="41">
        <f t="shared" si="7"/>
        <v>0</v>
      </c>
      <c r="S29" s="13">
        <v>0</v>
      </c>
      <c r="T29" s="41">
        <f t="shared" si="8"/>
        <v>0</v>
      </c>
      <c r="U29" s="42">
        <f t="shared" si="9"/>
        <v>0</v>
      </c>
      <c r="V29" s="43">
        <f t="shared" si="10"/>
        <v>0</v>
      </c>
      <c r="W29" s="62">
        <f t="shared" si="11"/>
        <v>0</v>
      </c>
    </row>
    <row r="30" spans="1:23" ht="32.25" customHeight="1" thickBot="1" x14ac:dyDescent="0.3">
      <c r="A30" s="1">
        <v>16</v>
      </c>
      <c r="B30" s="11" t="s">
        <v>48</v>
      </c>
      <c r="C30" s="14">
        <v>0</v>
      </c>
      <c r="D30" s="41">
        <f t="shared" si="0"/>
        <v>0</v>
      </c>
      <c r="E30" s="13">
        <v>0</v>
      </c>
      <c r="F30" s="41">
        <f t="shared" si="1"/>
        <v>0</v>
      </c>
      <c r="G30" s="13">
        <v>0</v>
      </c>
      <c r="H30" s="41">
        <f t="shared" si="2"/>
        <v>0</v>
      </c>
      <c r="I30" s="13">
        <v>0</v>
      </c>
      <c r="J30" s="41">
        <f t="shared" si="3"/>
        <v>0</v>
      </c>
      <c r="K30" s="13">
        <v>0</v>
      </c>
      <c r="L30" s="41">
        <f t="shared" si="4"/>
        <v>0</v>
      </c>
      <c r="M30" s="13">
        <v>0</v>
      </c>
      <c r="N30" s="41">
        <f t="shared" si="5"/>
        <v>0</v>
      </c>
      <c r="O30" s="13">
        <v>0</v>
      </c>
      <c r="P30" s="41">
        <f t="shared" si="6"/>
        <v>0</v>
      </c>
      <c r="Q30" s="13">
        <v>0</v>
      </c>
      <c r="R30" s="41">
        <f t="shared" si="7"/>
        <v>0</v>
      </c>
      <c r="S30" s="13">
        <v>0</v>
      </c>
      <c r="T30" s="41">
        <f t="shared" si="8"/>
        <v>0</v>
      </c>
      <c r="U30" s="42">
        <f t="shared" si="9"/>
        <v>0</v>
      </c>
      <c r="V30" s="43">
        <f t="shared" si="10"/>
        <v>0</v>
      </c>
      <c r="W30" s="62">
        <f t="shared" si="11"/>
        <v>0</v>
      </c>
    </row>
    <row r="31" spans="1:23" ht="32.25" customHeight="1" thickBot="1" x14ac:dyDescent="0.3">
      <c r="A31" s="1">
        <v>17</v>
      </c>
      <c r="B31" s="11" t="s">
        <v>49</v>
      </c>
      <c r="C31" s="14">
        <v>0</v>
      </c>
      <c r="D31" s="41">
        <f t="shared" si="0"/>
        <v>0</v>
      </c>
      <c r="E31" s="13">
        <v>0</v>
      </c>
      <c r="F31" s="41">
        <f t="shared" si="1"/>
        <v>0</v>
      </c>
      <c r="G31" s="13">
        <v>0</v>
      </c>
      <c r="H31" s="41">
        <f t="shared" si="2"/>
        <v>0</v>
      </c>
      <c r="I31" s="13">
        <v>0</v>
      </c>
      <c r="J31" s="41">
        <f t="shared" si="3"/>
        <v>0</v>
      </c>
      <c r="K31" s="13">
        <v>0</v>
      </c>
      <c r="L31" s="41">
        <f t="shared" si="4"/>
        <v>0</v>
      </c>
      <c r="M31" s="13">
        <v>0</v>
      </c>
      <c r="N31" s="41">
        <f t="shared" si="5"/>
        <v>0</v>
      </c>
      <c r="O31" s="13">
        <v>0</v>
      </c>
      <c r="P31" s="41">
        <f t="shared" si="6"/>
        <v>0</v>
      </c>
      <c r="Q31" s="13">
        <v>0</v>
      </c>
      <c r="R31" s="41">
        <f t="shared" si="7"/>
        <v>0</v>
      </c>
      <c r="S31" s="13">
        <v>0</v>
      </c>
      <c r="T31" s="41">
        <f t="shared" si="8"/>
        <v>0</v>
      </c>
      <c r="U31" s="42">
        <f t="shared" si="9"/>
        <v>0</v>
      </c>
      <c r="V31" s="43">
        <f t="shared" si="10"/>
        <v>0</v>
      </c>
      <c r="W31" s="62">
        <f t="shared" si="11"/>
        <v>0</v>
      </c>
    </row>
    <row r="32" spans="1:23" ht="32.25" customHeight="1" thickBot="1" x14ac:dyDescent="0.3">
      <c r="A32" s="1">
        <v>18</v>
      </c>
      <c r="B32" s="11" t="s">
        <v>50</v>
      </c>
      <c r="C32" s="14">
        <v>0</v>
      </c>
      <c r="D32" s="41">
        <f t="shared" si="0"/>
        <v>0</v>
      </c>
      <c r="E32" s="13">
        <v>0</v>
      </c>
      <c r="F32" s="41">
        <f t="shared" si="1"/>
        <v>0</v>
      </c>
      <c r="G32" s="13">
        <v>0</v>
      </c>
      <c r="H32" s="41">
        <f t="shared" si="2"/>
        <v>0</v>
      </c>
      <c r="I32" s="13">
        <v>0</v>
      </c>
      <c r="J32" s="41">
        <f t="shared" si="3"/>
        <v>0</v>
      </c>
      <c r="K32" s="13">
        <v>0</v>
      </c>
      <c r="L32" s="41">
        <f t="shared" si="4"/>
        <v>0</v>
      </c>
      <c r="M32" s="13">
        <v>0</v>
      </c>
      <c r="N32" s="41">
        <f t="shared" si="5"/>
        <v>0</v>
      </c>
      <c r="O32" s="13">
        <v>0</v>
      </c>
      <c r="P32" s="41">
        <f t="shared" si="6"/>
        <v>0</v>
      </c>
      <c r="Q32" s="13">
        <v>0</v>
      </c>
      <c r="R32" s="41">
        <f t="shared" si="7"/>
        <v>0</v>
      </c>
      <c r="S32" s="13">
        <v>0</v>
      </c>
      <c r="T32" s="41">
        <f t="shared" si="8"/>
        <v>0</v>
      </c>
      <c r="U32" s="42">
        <f t="shared" si="9"/>
        <v>0</v>
      </c>
      <c r="V32" s="43">
        <f t="shared" si="10"/>
        <v>0</v>
      </c>
      <c r="W32" s="62">
        <f t="shared" si="11"/>
        <v>0</v>
      </c>
    </row>
    <row r="33" spans="1:24" ht="32.25" customHeight="1" thickBot="1" x14ac:dyDescent="0.3">
      <c r="A33" s="1">
        <v>19</v>
      </c>
      <c r="B33" s="11" t="s">
        <v>51</v>
      </c>
      <c r="C33" s="14">
        <v>0</v>
      </c>
      <c r="D33" s="41">
        <f t="shared" si="0"/>
        <v>0</v>
      </c>
      <c r="E33" s="13">
        <v>0</v>
      </c>
      <c r="F33" s="41">
        <f t="shared" si="1"/>
        <v>0</v>
      </c>
      <c r="G33" s="13">
        <v>0</v>
      </c>
      <c r="H33" s="41">
        <f t="shared" si="2"/>
        <v>0</v>
      </c>
      <c r="I33" s="13">
        <v>0</v>
      </c>
      <c r="J33" s="41">
        <f t="shared" si="3"/>
        <v>0</v>
      </c>
      <c r="K33" s="13">
        <v>0</v>
      </c>
      <c r="L33" s="41">
        <f t="shared" si="4"/>
        <v>0</v>
      </c>
      <c r="M33" s="13">
        <v>0</v>
      </c>
      <c r="N33" s="41">
        <f t="shared" si="5"/>
        <v>0</v>
      </c>
      <c r="O33" s="13">
        <v>0</v>
      </c>
      <c r="P33" s="41">
        <f t="shared" si="6"/>
        <v>0</v>
      </c>
      <c r="Q33" s="13">
        <v>0</v>
      </c>
      <c r="R33" s="41">
        <f t="shared" si="7"/>
        <v>0</v>
      </c>
      <c r="S33" s="13">
        <v>0</v>
      </c>
      <c r="T33" s="41">
        <f t="shared" si="8"/>
        <v>0</v>
      </c>
      <c r="U33" s="42">
        <f t="shared" si="9"/>
        <v>0</v>
      </c>
      <c r="V33" s="43">
        <f t="shared" si="10"/>
        <v>0</v>
      </c>
      <c r="W33" s="62">
        <f t="shared" si="11"/>
        <v>0</v>
      </c>
      <c r="X33" s="15"/>
    </row>
    <row r="34" spans="1:24" ht="32.25" customHeight="1" thickBot="1" x14ac:dyDescent="0.3">
      <c r="A34" s="1">
        <v>20</v>
      </c>
      <c r="B34" s="11" t="s">
        <v>52</v>
      </c>
      <c r="C34" s="14">
        <v>0</v>
      </c>
      <c r="D34" s="41">
        <f t="shared" si="0"/>
        <v>0</v>
      </c>
      <c r="E34" s="13">
        <v>0</v>
      </c>
      <c r="F34" s="41">
        <f t="shared" si="1"/>
        <v>0</v>
      </c>
      <c r="G34" s="13">
        <v>0</v>
      </c>
      <c r="H34" s="41">
        <f t="shared" si="2"/>
        <v>0</v>
      </c>
      <c r="I34" s="13">
        <v>0</v>
      </c>
      <c r="J34" s="41">
        <f t="shared" si="3"/>
        <v>0</v>
      </c>
      <c r="K34" s="13">
        <v>0</v>
      </c>
      <c r="L34" s="41">
        <f t="shared" si="4"/>
        <v>0</v>
      </c>
      <c r="M34" s="13">
        <v>0</v>
      </c>
      <c r="N34" s="41">
        <f t="shared" si="5"/>
        <v>0</v>
      </c>
      <c r="O34" s="13">
        <v>0</v>
      </c>
      <c r="P34" s="41">
        <f t="shared" si="6"/>
        <v>0</v>
      </c>
      <c r="Q34" s="13">
        <v>0</v>
      </c>
      <c r="R34" s="41">
        <f t="shared" si="7"/>
        <v>0</v>
      </c>
      <c r="S34" s="13">
        <v>0</v>
      </c>
      <c r="T34" s="41">
        <f t="shared" si="8"/>
        <v>0</v>
      </c>
      <c r="U34" s="42">
        <f t="shared" si="9"/>
        <v>0</v>
      </c>
      <c r="V34" s="43">
        <f t="shared" si="10"/>
        <v>0</v>
      </c>
      <c r="W34" s="62">
        <f t="shared" si="11"/>
        <v>0</v>
      </c>
      <c r="X34" s="15"/>
    </row>
    <row r="35" spans="1:24" s="15" customFormat="1" ht="15" customHeight="1" thickBot="1" x14ac:dyDescent="0.3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4" ht="32.25" customHeight="1" thickBot="1" x14ac:dyDescent="0.3">
      <c r="B36" s="18" t="s">
        <v>64</v>
      </c>
      <c r="C36" s="45">
        <f>SUM(C15:C34)</f>
        <v>0</v>
      </c>
      <c r="D36" s="19" t="s">
        <v>4</v>
      </c>
      <c r="E36" s="45">
        <f>SUM(E15:E34)</f>
        <v>0</v>
      </c>
      <c r="F36" s="19" t="s">
        <v>5</v>
      </c>
      <c r="G36" s="45">
        <f>SUM(G15:G34)</f>
        <v>0</v>
      </c>
      <c r="H36" s="19" t="s">
        <v>5</v>
      </c>
      <c r="I36" s="45">
        <f>SUM(I15:I34)</f>
        <v>0</v>
      </c>
      <c r="J36" s="19" t="s">
        <v>3</v>
      </c>
      <c r="K36" s="45">
        <f>SUM(K15:K34)</f>
        <v>0</v>
      </c>
      <c r="L36" s="19" t="s">
        <v>21</v>
      </c>
      <c r="M36" s="45">
        <f>SUM(M15:M34)</f>
        <v>0</v>
      </c>
      <c r="N36" s="19" t="s">
        <v>0</v>
      </c>
      <c r="O36" s="45">
        <f>SUM(O15:O34)</f>
        <v>0</v>
      </c>
      <c r="P36" s="19" t="s">
        <v>1</v>
      </c>
      <c r="Q36" s="45">
        <f>SUM(Q15:Q34)</f>
        <v>0</v>
      </c>
      <c r="R36" s="19" t="s">
        <v>23</v>
      </c>
      <c r="S36" s="45">
        <f>SUM(S15:S34)</f>
        <v>0</v>
      </c>
      <c r="T36" s="19" t="s">
        <v>66</v>
      </c>
      <c r="U36" s="44">
        <f>SUM(U15:U34)</f>
        <v>0</v>
      </c>
      <c r="V36" s="20" t="s">
        <v>54</v>
      </c>
      <c r="W36" s="21" t="s">
        <v>55</v>
      </c>
      <c r="X36" s="15"/>
    </row>
    <row r="37" spans="1:24" ht="42.75" customHeight="1" thickBot="1" x14ac:dyDescent="0.3">
      <c r="B37" s="22" t="s">
        <v>53</v>
      </c>
      <c r="C37" s="46">
        <f>SUM(D15:D36)</f>
        <v>0</v>
      </c>
      <c r="D37" s="23" t="s">
        <v>15</v>
      </c>
      <c r="E37" s="47">
        <f>SUM(F15:F36)</f>
        <v>0</v>
      </c>
      <c r="F37" s="23" t="s">
        <v>54</v>
      </c>
      <c r="G37" s="47">
        <f>SUM(H15:H36)</f>
        <v>0</v>
      </c>
      <c r="H37" s="23" t="s">
        <v>54</v>
      </c>
      <c r="I37" s="47">
        <f>SUM(J15:J36)</f>
        <v>0</v>
      </c>
      <c r="J37" s="23" t="s">
        <v>54</v>
      </c>
      <c r="K37" s="47">
        <f>SUM(L15:L36)</f>
        <v>0</v>
      </c>
      <c r="L37" s="23" t="s">
        <v>54</v>
      </c>
      <c r="M37" s="47">
        <f>SUM(N15:N36)</f>
        <v>0</v>
      </c>
      <c r="N37" s="23" t="s">
        <v>54</v>
      </c>
      <c r="O37" s="47">
        <f>SUM(P15:P36)</f>
        <v>0</v>
      </c>
      <c r="P37" s="23" t="s">
        <v>54</v>
      </c>
      <c r="Q37" s="47">
        <f>SUM(R15:R36)</f>
        <v>0</v>
      </c>
      <c r="R37" s="23" t="s">
        <v>54</v>
      </c>
      <c r="S37" s="47">
        <f>SUM(T15:T36)</f>
        <v>0</v>
      </c>
      <c r="T37" s="23" t="s">
        <v>54</v>
      </c>
      <c r="U37" s="24" t="s">
        <v>65</v>
      </c>
      <c r="V37" s="48">
        <f>+V15+V16+V17+V18+V19+V20+V21+V30+V31+V32+V33+V34</f>
        <v>0</v>
      </c>
      <c r="W37" s="49">
        <f>SUM(W15:W34)</f>
        <v>0</v>
      </c>
      <c r="X37" s="15"/>
    </row>
    <row r="38" spans="1:24" s="15" customFormat="1" ht="23.25" customHeight="1" x14ac:dyDescent="0.25">
      <c r="A38" s="16"/>
      <c r="B38" s="25"/>
      <c r="C38" s="26"/>
      <c r="D38" s="27"/>
      <c r="E38" s="28"/>
      <c r="F38" s="27"/>
      <c r="G38" s="28"/>
      <c r="H38" s="27"/>
      <c r="I38" s="28"/>
      <c r="J38" s="27"/>
      <c r="K38" s="28"/>
      <c r="L38" s="27"/>
      <c r="M38" s="28"/>
      <c r="N38" s="27"/>
      <c r="O38" s="28"/>
      <c r="P38" s="27"/>
      <c r="Q38" s="28"/>
      <c r="R38" s="27"/>
      <c r="S38" s="28"/>
      <c r="T38" s="27"/>
      <c r="U38" s="26"/>
      <c r="V38" s="29"/>
      <c r="W38" s="30"/>
    </row>
    <row r="39" spans="1:24" x14ac:dyDescent="0.25">
      <c r="D39" s="31"/>
      <c r="E39" s="32"/>
      <c r="F39" s="32"/>
    </row>
    <row r="40" spans="1:24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24" ht="63.75" customHeight="1" x14ac:dyDescent="0.25">
      <c r="B41" s="68" t="s">
        <v>62</v>
      </c>
      <c r="C41" s="68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24" ht="102.75" customHeight="1" x14ac:dyDescent="0.25">
      <c r="B42" s="33" t="s">
        <v>17</v>
      </c>
      <c r="C42" s="33" t="s">
        <v>19</v>
      </c>
      <c r="E42" s="34"/>
      <c r="F42" s="34"/>
      <c r="G42" s="66"/>
      <c r="H42" s="66"/>
      <c r="I42" s="66"/>
      <c r="J42" s="66"/>
      <c r="K42" s="65"/>
      <c r="L42" s="65"/>
      <c r="M42" s="65"/>
      <c r="N42" s="65"/>
      <c r="O42" s="65"/>
    </row>
    <row r="43" spans="1:24" ht="15.75" customHeight="1" x14ac:dyDescent="0.25">
      <c r="A43" s="16"/>
      <c r="B43" s="26" t="s">
        <v>10</v>
      </c>
      <c r="C43" s="26">
        <v>15</v>
      </c>
      <c r="D43" s="15"/>
      <c r="E43" s="35"/>
      <c r="F43" s="36"/>
      <c r="G43" s="36"/>
      <c r="H43" s="36"/>
      <c r="I43" s="36"/>
      <c r="J43" s="36"/>
      <c r="K43" s="15"/>
      <c r="L43" s="15"/>
      <c r="M43" s="15"/>
      <c r="N43" s="15"/>
      <c r="O43" s="15"/>
    </row>
    <row r="44" spans="1:24" x14ac:dyDescent="0.25">
      <c r="A44" s="16"/>
      <c r="B44" s="26" t="s">
        <v>7</v>
      </c>
      <c r="C44" s="26">
        <v>15</v>
      </c>
      <c r="D44" s="15"/>
      <c r="E44" s="35"/>
      <c r="F44" s="36"/>
      <c r="G44" s="36"/>
      <c r="H44" s="36"/>
      <c r="I44" s="36"/>
      <c r="J44" s="36"/>
      <c r="K44" s="15"/>
      <c r="L44" s="15"/>
      <c r="M44" s="15"/>
      <c r="N44" s="15"/>
      <c r="O44" s="15"/>
    </row>
    <row r="45" spans="1:24" x14ac:dyDescent="0.25">
      <c r="A45" s="16"/>
      <c r="B45" s="26" t="s">
        <v>12</v>
      </c>
      <c r="C45" s="26">
        <v>50</v>
      </c>
      <c r="D45" s="15"/>
      <c r="E45" s="35"/>
      <c r="F45" s="36"/>
      <c r="G45" s="36"/>
      <c r="H45" s="36"/>
      <c r="I45" s="36"/>
      <c r="J45" s="36"/>
      <c r="K45" s="15"/>
      <c r="L45" s="15"/>
      <c r="M45" s="15"/>
      <c r="N45" s="15"/>
      <c r="O45" s="15"/>
    </row>
    <row r="46" spans="1:24" x14ac:dyDescent="0.25">
      <c r="A46" s="16"/>
      <c r="B46" s="26" t="s">
        <v>8</v>
      </c>
      <c r="C46" s="26">
        <v>40</v>
      </c>
      <c r="D46" s="15"/>
      <c r="E46" s="35"/>
      <c r="F46" s="36"/>
      <c r="G46" s="36"/>
      <c r="H46" s="36"/>
      <c r="I46" s="36"/>
      <c r="J46" s="36"/>
      <c r="K46" s="15"/>
      <c r="L46" s="15"/>
      <c r="M46" s="15"/>
      <c r="N46" s="15"/>
      <c r="O46" s="15"/>
    </row>
    <row r="47" spans="1:24" x14ac:dyDescent="0.25">
      <c r="A47" s="16"/>
      <c r="B47" s="26" t="s">
        <v>13</v>
      </c>
      <c r="C47" s="26">
        <v>60</v>
      </c>
      <c r="D47" s="15"/>
      <c r="E47" s="35"/>
      <c r="F47" s="36"/>
      <c r="G47" s="36"/>
      <c r="H47" s="36"/>
      <c r="I47" s="36"/>
      <c r="J47" s="36"/>
      <c r="K47" s="15"/>
      <c r="L47" s="15"/>
      <c r="M47" s="15"/>
      <c r="N47" s="15"/>
      <c r="O47" s="15"/>
    </row>
    <row r="48" spans="1:24" x14ac:dyDescent="0.25">
      <c r="A48" s="16"/>
      <c r="B48" s="26" t="s">
        <v>20</v>
      </c>
      <c r="C48" s="26">
        <v>50</v>
      </c>
      <c r="D48" s="15"/>
      <c r="E48" s="35"/>
      <c r="F48" s="36"/>
      <c r="G48" s="36"/>
      <c r="H48" s="36"/>
      <c r="I48" s="36"/>
      <c r="J48" s="36"/>
      <c r="K48" s="15"/>
      <c r="L48" s="15"/>
      <c r="M48" s="15"/>
      <c r="N48" s="15"/>
      <c r="O48" s="15"/>
    </row>
    <row r="49" spans="1:15" x14ac:dyDescent="0.25">
      <c r="A49" s="16"/>
      <c r="B49" s="26" t="s">
        <v>2</v>
      </c>
      <c r="C49" s="26">
        <v>70</v>
      </c>
      <c r="D49" s="15"/>
      <c r="E49" s="35"/>
      <c r="F49" s="36"/>
      <c r="G49" s="36"/>
      <c r="H49" s="36"/>
      <c r="I49" s="36"/>
      <c r="J49" s="36"/>
      <c r="K49" s="15"/>
      <c r="L49" s="15"/>
      <c r="M49" s="15"/>
      <c r="N49" s="15"/>
      <c r="O49" s="15"/>
    </row>
    <row r="50" spans="1:15" x14ac:dyDescent="0.25">
      <c r="A50" s="16"/>
      <c r="B50" s="26" t="s">
        <v>11</v>
      </c>
      <c r="C50" s="26">
        <v>80</v>
      </c>
      <c r="D50" s="15"/>
      <c r="E50" s="35"/>
      <c r="F50" s="36"/>
      <c r="G50" s="36"/>
      <c r="H50" s="36"/>
      <c r="I50" s="36"/>
      <c r="J50" s="36"/>
      <c r="K50" s="15"/>
      <c r="L50" s="15"/>
      <c r="M50" s="15"/>
      <c r="N50" s="15"/>
      <c r="O50" s="15"/>
    </row>
    <row r="51" spans="1:15" x14ac:dyDescent="0.25">
      <c r="A51" s="16"/>
      <c r="B51" s="26" t="s">
        <v>9</v>
      </c>
      <c r="C51" s="26">
        <v>130</v>
      </c>
      <c r="D51" s="15"/>
      <c r="E51" s="35"/>
      <c r="F51" s="36"/>
      <c r="G51" s="36"/>
      <c r="H51" s="36"/>
      <c r="I51" s="36"/>
      <c r="J51" s="36"/>
      <c r="K51" s="15"/>
      <c r="L51" s="15"/>
      <c r="M51" s="15"/>
      <c r="N51" s="15"/>
      <c r="O51" s="15"/>
    </row>
    <row r="52" spans="1:15" ht="15.75" customHeight="1" x14ac:dyDescent="0.25">
      <c r="A52" s="16"/>
      <c r="B52" s="64" t="s">
        <v>63</v>
      </c>
      <c r="C52" s="64"/>
      <c r="D52" s="15"/>
      <c r="E52" s="15"/>
      <c r="F52" s="15"/>
    </row>
    <row r="53" spans="1:15" x14ac:dyDescent="0.25">
      <c r="A53" s="16"/>
      <c r="B53" s="64"/>
      <c r="C53" s="64"/>
      <c r="D53" s="15"/>
      <c r="E53" s="15"/>
      <c r="F53" s="15"/>
    </row>
    <row r="54" spans="1:15" x14ac:dyDescent="0.25">
      <c r="B54" s="64"/>
      <c r="C54" s="64"/>
    </row>
    <row r="55" spans="1:15" x14ac:dyDescent="0.25">
      <c r="B55" s="64"/>
      <c r="C55" s="64"/>
    </row>
    <row r="56" spans="1:15" x14ac:dyDescent="0.25">
      <c r="B56" s="64"/>
      <c r="C56" s="64"/>
    </row>
    <row r="57" spans="1:15" x14ac:dyDescent="0.25">
      <c r="B57" s="64"/>
      <c r="C57" s="64"/>
    </row>
    <row r="58" spans="1:15" x14ac:dyDescent="0.25">
      <c r="B58" s="64"/>
      <c r="C58" s="64"/>
    </row>
    <row r="59" spans="1:15" x14ac:dyDescent="0.25">
      <c r="B59" s="64"/>
      <c r="C59" s="64"/>
    </row>
    <row r="60" spans="1:15" x14ac:dyDescent="0.25">
      <c r="B60" s="64"/>
      <c r="C60" s="64"/>
    </row>
    <row r="61" spans="1:15" x14ac:dyDescent="0.25">
      <c r="B61" s="64"/>
      <c r="C61" s="64"/>
    </row>
    <row r="62" spans="1:15" x14ac:dyDescent="0.25">
      <c r="B62" s="37"/>
      <c r="C62" s="37"/>
    </row>
  </sheetData>
  <sheetProtection algorithmName="SHA-512" hashValue="jx+LcQ9jsDNXNGM5y9mCCjENdi5q6QNFvAA5d6xomYyUuwjvA1U48QJLhhrKWb1VUE7mrvzY8SK+g5JObmGGgA==" saltValue="BernACOSGJK98KD1a/vgQg==" spinCount="100000" sheet="1"/>
  <mergeCells count="15">
    <mergeCell ref="B52:C61"/>
    <mergeCell ref="K42:O42"/>
    <mergeCell ref="I42:J42"/>
    <mergeCell ref="G42:H42"/>
    <mergeCell ref="B1:W1"/>
    <mergeCell ref="B3:W3"/>
    <mergeCell ref="B4:W4"/>
    <mergeCell ref="B41:C41"/>
    <mergeCell ref="D7:G7"/>
    <mergeCell ref="D6:G6"/>
    <mergeCell ref="J12:R12"/>
    <mergeCell ref="I7:N7"/>
    <mergeCell ref="I6:N6"/>
    <mergeCell ref="B9:H9"/>
    <mergeCell ref="J9:R9"/>
  </mergeCells>
  <phoneticPr fontId="1" type="noConversion"/>
  <pageMargins left="0.39370078740157483" right="0.39370078740157483" top="0.59055118110236227" bottom="0.59055118110236227" header="0" footer="0"/>
  <pageSetup paperSize="9" scale="55" orientation="landscape" horizontalDpi="300" verticalDpi="300" r:id="rId1"/>
  <headerFooter alignWithMargins="0">
    <oddHeader>&amp;C
&amp;G</oddHeader>
  </headerFooter>
  <drawing r:id="rId2"/>
  <legacyDrawing r:id="rId3"/>
  <legacyDrawingHF r:id="rId4"/>
  <tableParts count="4"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SAL-LOTES-INVENTARIO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CGR BIOTECNOLOGIA REPRODUCTIVA</dc:creator>
  <cp:lastModifiedBy>SOLUGAN SG</cp:lastModifiedBy>
  <cp:lastPrinted>2008-11-15T16:45:12Z</cp:lastPrinted>
  <dcterms:created xsi:type="dcterms:W3CDTF">2008-11-15T15:06:15Z</dcterms:created>
  <dcterms:modified xsi:type="dcterms:W3CDTF">2021-07-26T18:33:34Z</dcterms:modified>
</cp:coreProperties>
</file>